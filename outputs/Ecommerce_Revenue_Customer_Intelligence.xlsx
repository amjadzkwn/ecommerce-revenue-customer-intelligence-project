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7f4567d73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4ba5cb39ac824cc2"/>
    <x:sheet xmlns:r="http://schemas.openxmlformats.org/officeDocument/2006/relationships" name="Customer Intelligence" sheetId="2" r:id="Rf170fdd756654129"/>
    <x:sheet xmlns:r="http://schemas.openxmlformats.org/officeDocument/2006/relationships" name="Market Performance" sheetId="3" r:id="Rf787d131746f4e30"/>
    <x:sheet xmlns:r="http://schemas.openxmlformats.org/officeDocument/2006/relationships" name="Delivery &amp; Experience" sheetId="4" r:id="Rfdbb913aebaf4c20"/>
    <x:sheet xmlns:r="http://schemas.openxmlformats.org/officeDocument/2006/relationships" name="Data_Monthly" sheetId="5" r:id="Raaa79628d1b949be"/>
    <x:sheet xmlns:r="http://schemas.openxmlformats.org/officeDocument/2006/relationships" name="Data_Summary" sheetId="6" r:id="Rc6ba83e7d7754ce6"/>
    <x:sheet xmlns:r="http://schemas.openxmlformats.org/officeDocument/2006/relationships" name="Definitions" sheetId="7" r:id="Ra979bc95b7a5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#,##0"/>
    <x:numFmt numFmtId="202" formatCode="&quot;R$&quot;#,##0.00"/>
    <x:numFmt numFmtId="203" formatCode="0.0%"/>
    <x:numFmt numFmtId="204" formatCode="0.00"/>
    <x:numFmt numFmtId="205" formatCode="&quot;R$&quot;#,##0"/>
  </x:numFmts>
  <x:fonts count="7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6"/>
      <x:color rgb="FF172033"/>
      <x:name val="Arial"/>
    </x:font>
    <x:font>
      <x:i/>
      <x:sz val="10"/>
      <x:color rgb="FF6F7890"/>
      <x:name val="Arial"/>
    </x:font>
    <x:font>
      <x:b/>
      <x:sz val="9"/>
      <x:color rgb="FF6F7890"/>
      <x:name val="Arial"/>
    </x:font>
    <x:font>
      <x:sz val="10"/>
      <x:color rgb="FF2457D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AF0FF"/>
      </x:patternFill>
    </x:fill>
    <x:fill>
      <x:patternFill patternType="solid">
        <x:fgColor rgb="FFF4F6FA"/>
      </x:patternFill>
    </x:fill>
    <x:fill>
      <x:patternFill patternType="solid">
        <x:fgColor rgb="FFE7F6F1"/>
      </x:patternFill>
    </x:fill>
    <x:fill>
      <x:patternFill patternType="solid">
        <x:fgColor rgb="FFF1EBFF"/>
      </x:patternFill>
    </x:fill>
    <x:fill>
      <x:patternFill patternType="solid">
        <x:fgColor rgb="FFFCECEF"/>
      </x:patternFill>
    </x:fill>
  </x:fills>
  <x:borders count="12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8F1"/>
      </x:bottom>
    </x:border>
    <x:border>
      <x:left style="thin">
        <x:color rgb="FFE3E8F1"/>
      </x:left>
      <x:top style="thin">
        <x:color rgb="FFE3E8F1"/>
      </x:top>
    </x:border>
    <x:border>
      <x:top style="thin">
        <x:color rgb="FFE3E8F1"/>
      </x:top>
    </x:border>
    <x:border>
      <x:right style="thin">
        <x:color rgb="FFE3E8F1"/>
      </x:right>
      <x:top style="thin">
        <x:color rgb="FFE3E8F1"/>
      </x:top>
    </x:border>
    <x:border>
      <x:left style="thin">
        <x:color rgb="FFE3E8F1"/>
      </x:left>
    </x:border>
    <x:border>
      <x:right style="thin">
        <x:color rgb="FFE3E8F1"/>
      </x:right>
    </x:border>
    <x:border>
      <x:left style="thin">
        <x:color rgb="FFE3E8F1"/>
      </x:left>
      <x:bottom style="thin">
        <x:color rgb="FFE3E8F1"/>
      </x:bottom>
    </x:border>
    <x:border>
      <x:right style="thin">
        <x:color rgb="FFE3E8F1"/>
      </x:right>
      <x:bottom style="thin">
        <x:color rgb="FFE3E8F1"/>
      </x:bottom>
    </x:border>
  </x:borders>
  <x:cellStyleXfs count="1">
    <x:xf numFmtId="0" fontId="0" fillId="0" borderId="0"/>
  </x:cellStyleXfs>
  <x:cellXfs count="26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left"/>
    </x:xf>
    <x:xf numFmtId="0" fontId="5" fillId="3" borderId="6" xfId="0" applyNumberFormat="1" applyFont="1" applyFill="1" applyBorder="1" applyAlignment="1">
      <x:alignment horizontal="left"/>
    </x:xf>
    <x:xf numFmtId="0" fontId="5" fillId="3" borderId="7" xfId="0" applyNumberFormat="1" applyFont="1" applyFill="1" applyBorder="1" applyAlignment="1">
      <x:alignment horizontal="left"/>
    </x:xf>
    <x:xf numFmtId="0" fontId="5" fillId="3" borderId="5" xfId="0" applyNumberFormat="1" applyFont="1" applyFill="1" applyBorder="1" applyAlignment="1">
      <x:alignment horizontal="left" vertical="center"/>
    </x:xf>
    <x:xf numFmtId="0" fontId="5" fillId="3" borderId="6" xfId="0" applyNumberFormat="1" applyFont="1" applyFill="1" applyBorder="1" applyAlignment="1">
      <x:alignment horizontal="left" vertical="center"/>
    </x:xf>
    <x:xf numFmtId="0" fontId="5" fillId="3" borderId="7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4" xfId="0" applyNumberFormat="1" applyFont="1" applyFill="1" applyBorder="1"/>
    <x:xf numFmtId="0" fontId="3" fillId="3" borderId="11" xfId="0" applyNumberFormat="1" applyFont="1" applyFill="1" applyBorder="1"/>
    <x:xf numFmtId="205" fontId="3" fillId="3" borderId="8" xfId="0" applyNumberFormat="1" applyFont="1" applyFill="1" applyBorder="1"/>
    <x:xf numFmtId="205" fontId="3" fillId="3" borderId="0" xfId="0" applyNumberFormat="1" applyFont="1" applyFill="1" applyBorder="1"/>
    <x:xf numFmtId="205" fontId="3" fillId="3" borderId="9" xfId="0" applyNumberFormat="1" applyFont="1" applyFill="1" applyBorder="1"/>
    <x:xf numFmtId="205" fontId="3" fillId="3" borderId="10" xfId="0" applyNumberFormat="1" applyFont="1" applyFill="1" applyBorder="1"/>
    <x:xf numFmtId="205" fontId="3" fillId="3" borderId="4" xfId="0" applyNumberFormat="1" applyFont="1" applyFill="1" applyBorder="1"/>
    <x:xf numFmtId="205" fontId="3" fillId="3" borderId="11" xfId="0" applyNumberFormat="1" applyFont="1" applyFill="1" applyBorder="1"/>
    <x:xf numFmtId="205" fontId="3" fillId="3" borderId="8" xfId="0" applyNumberFormat="1" applyFont="1" applyFill="1" applyBorder="1" applyAlignment="1">
      <x:alignment horizontal="left"/>
    </x:xf>
    <x:xf numFmtId="205" fontId="3" fillId="3" borderId="0" xfId="0" applyNumberFormat="1" applyFont="1" applyFill="1" applyBorder="1" applyAlignment="1">
      <x:alignment horizontal="left"/>
    </x:xf>
    <x:xf numFmtId="205" fontId="3" fillId="3" borderId="9" xfId="0" applyNumberFormat="1" applyFont="1" applyFill="1" applyBorder="1" applyAlignment="1">
      <x:alignment horizontal="left"/>
    </x:xf>
    <x:xf numFmtId="205" fontId="3" fillId="3" borderId="10" xfId="0" applyNumberFormat="1" applyFont="1" applyFill="1" applyBorder="1" applyAlignment="1">
      <x:alignment horizontal="left"/>
    </x:xf>
    <x:xf numFmtId="205" fontId="3" fillId="3" borderId="4" xfId="0" applyNumberFormat="1" applyFont="1" applyFill="1" applyBorder="1" applyAlignment="1">
      <x:alignment horizontal="left"/>
    </x:xf>
    <x:xf numFmtId="205" fontId="3" fillId="3" borderId="11" xfId="0" applyNumberFormat="1" applyFont="1" applyFill="1" applyBorder="1" applyAlignment="1">
      <x:alignment horizontal="left"/>
    </x:xf>
    <x:xf numFmtId="205" fontId="3" fillId="3" borderId="8" xfId="0" applyNumberFormat="1" applyFont="1" applyFill="1" applyBorder="1" applyAlignment="1">
      <x:alignment horizontal="left" vertical="center"/>
    </x:xf>
    <x:xf numFmtId="205" fontId="3" fillId="3" borderId="0" xfId="0" applyNumberFormat="1" applyFont="1" applyFill="1" applyBorder="1" applyAlignment="1">
      <x:alignment horizontal="left" vertical="center"/>
    </x:xf>
    <x:xf numFmtId="205" fontId="3" fillId="3" borderId="9" xfId="0" applyNumberFormat="1" applyFont="1" applyFill="1" applyBorder="1" applyAlignment="1">
      <x:alignment horizontal="left" vertical="center"/>
    </x:xf>
    <x:xf numFmtId="205" fontId="3" fillId="3" borderId="10" xfId="0" applyNumberFormat="1" applyFont="1" applyFill="1" applyBorder="1" applyAlignment="1">
      <x:alignment horizontal="left" vertical="center"/>
    </x:xf>
    <x:xf numFmtId="205" fontId="3" fillId="3" borderId="4" xfId="0" applyNumberFormat="1" applyFont="1" applyFill="1" applyBorder="1" applyAlignment="1">
      <x:alignment horizontal="left" vertical="center"/>
    </x:xf>
    <x:xf numFmtId="205" fontId="3" fillId="3" borderId="11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5" xfId="0" applyNumberFormat="1" applyFont="1" applyFill="1" applyBorder="1" applyAlignment="1">
      <x:alignment horizontal="left"/>
    </x:xf>
    <x:xf numFmtId="0" fontId="5" fillId="4" borderId="6" xfId="0" applyNumberFormat="1" applyFont="1" applyFill="1" applyBorder="1" applyAlignment="1">
      <x:alignment horizontal="left"/>
    </x:xf>
    <x:xf numFmtId="0" fontId="5" fillId="4" borderId="7" xfId="0" applyNumberFormat="1" applyFont="1" applyFill="1" applyBorder="1" applyAlignment="1">
      <x:alignment horizontal="left"/>
    </x:xf>
    <x:xf numFmtId="0" fontId="5" fillId="4" borderId="5" xfId="0" applyNumberFormat="1" applyFont="1" applyFill="1" applyBorder="1" applyAlignment="1">
      <x:alignment horizontal="left" vertical="center"/>
    </x:xf>
    <x:xf numFmtId="0" fontId="5" fillId="4" borderId="6" xfId="0" applyNumberFormat="1" applyFont="1" applyFill="1" applyBorder="1" applyAlignment="1">
      <x:alignment horizontal="left" vertical="center"/>
    </x:xf>
    <x:xf numFmtId="0" fontId="5" fillId="4" borderId="7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4" xfId="0" applyNumberFormat="1" applyFont="1" applyFill="1" applyBorder="1"/>
    <x:xf numFmtId="0" fontId="3" fillId="4" borderId="11" xfId="0" applyNumberFormat="1" applyFont="1" applyFill="1" applyBorder="1"/>
    <x:xf numFmtId="201" fontId="3" fillId="4" borderId="8" xfId="0" applyNumberFormat="1" applyFont="1" applyFill="1" applyBorder="1"/>
    <x:xf numFmtId="201" fontId="3" fillId="4" borderId="0" xfId="0" applyNumberFormat="1" applyFont="1" applyFill="1" applyBorder="1"/>
    <x:xf numFmtId="201" fontId="3" fillId="4" borderId="9" xfId="0" applyNumberFormat="1" applyFont="1" applyFill="1" applyBorder="1"/>
    <x:xf numFmtId="201" fontId="3" fillId="4" borderId="10" xfId="0" applyNumberFormat="1" applyFont="1" applyFill="1" applyBorder="1"/>
    <x:xf numFmtId="201" fontId="3" fillId="4" borderId="4" xfId="0" applyNumberFormat="1" applyFont="1" applyFill="1" applyBorder="1"/>
    <x:xf numFmtId="201" fontId="3" fillId="4" borderId="11" xfId="0" applyNumberFormat="1" applyFont="1" applyFill="1" applyBorder="1"/>
    <x:xf numFmtId="201" fontId="3" fillId="4" borderId="8" xfId="0" applyNumberFormat="1" applyFont="1" applyFill="1" applyBorder="1" applyAlignment="1">
      <x:alignment horizontal="left"/>
    </x:xf>
    <x:xf numFmtId="201" fontId="3" fillId="4" borderId="0" xfId="0" applyNumberFormat="1" applyFont="1" applyFill="1" applyBorder="1" applyAlignment="1">
      <x:alignment horizontal="left"/>
    </x:xf>
    <x:xf numFmtId="201" fontId="3" fillId="4" borderId="9" xfId="0" applyNumberFormat="1" applyFont="1" applyFill="1" applyBorder="1" applyAlignment="1">
      <x:alignment horizontal="left"/>
    </x:xf>
    <x:xf numFmtId="201" fontId="3" fillId="4" borderId="10" xfId="0" applyNumberFormat="1" applyFont="1" applyFill="1" applyBorder="1" applyAlignment="1">
      <x:alignment horizontal="left"/>
    </x:xf>
    <x:xf numFmtId="201" fontId="3" fillId="4" borderId="4" xfId="0" applyNumberFormat="1" applyFont="1" applyFill="1" applyBorder="1" applyAlignment="1">
      <x:alignment horizontal="left"/>
    </x:xf>
    <x:xf numFmtId="201" fontId="3" fillId="4" borderId="11" xfId="0" applyNumberFormat="1" applyFont="1" applyFill="1" applyBorder="1" applyAlignment="1">
      <x:alignment horizontal="left"/>
    </x:xf>
    <x:xf numFmtId="201" fontId="3" fillId="4" borderId="8" xfId="0" applyNumberFormat="1" applyFont="1" applyFill="1" applyBorder="1" applyAlignment="1">
      <x:alignment horizontal="left" vertical="center"/>
    </x:xf>
    <x:xf numFmtId="201" fontId="3" fillId="4" borderId="0" xfId="0" applyNumberFormat="1" applyFont="1" applyFill="1" applyBorder="1" applyAlignment="1">
      <x:alignment horizontal="left" vertical="center"/>
    </x:xf>
    <x:xf numFmtId="201" fontId="3" fillId="4" borderId="9" xfId="0" applyNumberFormat="1" applyFont="1" applyFill="1" applyBorder="1" applyAlignment="1">
      <x:alignment horizontal="left" vertical="center"/>
    </x:xf>
    <x:xf numFmtId="201" fontId="3" fillId="4" borderId="10" xfId="0" applyNumberFormat="1" applyFont="1" applyFill="1" applyBorder="1" applyAlignment="1">
      <x:alignment horizontal="left" vertical="center"/>
    </x:xf>
    <x:xf numFmtId="201" fontId="3" fillId="4" borderId="4" xfId="0" applyNumberFormat="1" applyFont="1" applyFill="1" applyBorder="1" applyAlignment="1">
      <x:alignment horizontal="left" vertical="center"/>
    </x:xf>
    <x:xf numFmtId="201" fontId="3" fillId="4" borderId="11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5" xfId="0" applyNumberFormat="1" applyFont="1" applyFill="1" applyBorder="1" applyAlignment="1">
      <x:alignment horizontal="left"/>
    </x:xf>
    <x:xf numFmtId="0" fontId="5" fillId="5" borderId="6" xfId="0" applyNumberFormat="1" applyFont="1" applyFill="1" applyBorder="1" applyAlignment="1">
      <x:alignment horizontal="left"/>
    </x:xf>
    <x:xf numFmtId="0" fontId="5" fillId="5" borderId="7" xfId="0" applyNumberFormat="1" applyFont="1" applyFill="1" applyBorder="1" applyAlignment="1">
      <x:alignment horizontal="left"/>
    </x:xf>
    <x:xf numFmtId="0" fontId="5" fillId="5" borderId="5" xfId="0" applyNumberFormat="1" applyFont="1" applyFill="1" applyBorder="1" applyAlignment="1">
      <x:alignment horizontal="left" vertical="center"/>
    </x:xf>
    <x:xf numFmtId="0" fontId="5" fillId="5" borderId="6" xfId="0" applyNumberFormat="1" applyFont="1" applyFill="1" applyBorder="1" applyAlignment="1">
      <x:alignment horizontal="left" vertical="center"/>
    </x:xf>
    <x:xf numFmtId="0" fontId="5" fillId="5" borderId="7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4" xfId="0" applyNumberFormat="1" applyFont="1" applyFill="1" applyBorder="1"/>
    <x:xf numFmtId="0" fontId="3" fillId="5" borderId="11" xfId="0" applyNumberFormat="1" applyFont="1" applyFill="1" applyBorder="1"/>
    <x:xf numFmtId="202" fontId="3" fillId="5" borderId="8" xfId="0" applyNumberFormat="1" applyFont="1" applyFill="1" applyBorder="1"/>
    <x:xf numFmtId="202" fontId="3" fillId="5" borderId="0" xfId="0" applyNumberFormat="1" applyFont="1" applyFill="1" applyBorder="1"/>
    <x:xf numFmtId="202" fontId="3" fillId="5" borderId="9" xfId="0" applyNumberFormat="1" applyFont="1" applyFill="1" applyBorder="1"/>
    <x:xf numFmtId="202" fontId="3" fillId="5" borderId="10" xfId="0" applyNumberFormat="1" applyFont="1" applyFill="1" applyBorder="1"/>
    <x:xf numFmtId="202" fontId="3" fillId="5" borderId="4" xfId="0" applyNumberFormat="1" applyFont="1" applyFill="1" applyBorder="1"/>
    <x:xf numFmtId="202" fontId="3" fillId="5" borderId="11" xfId="0" applyNumberFormat="1" applyFont="1" applyFill="1" applyBorder="1"/>
    <x:xf numFmtId="202" fontId="3" fillId="5" borderId="8" xfId="0" applyNumberFormat="1" applyFont="1" applyFill="1" applyBorder="1" applyAlignment="1">
      <x:alignment horizontal="left"/>
    </x:xf>
    <x:xf numFmtId="202" fontId="3" fillId="5" borderId="0" xfId="0" applyNumberFormat="1" applyFont="1" applyFill="1" applyBorder="1" applyAlignment="1">
      <x:alignment horizontal="left"/>
    </x:xf>
    <x:xf numFmtId="202" fontId="3" fillId="5" borderId="9" xfId="0" applyNumberFormat="1" applyFont="1" applyFill="1" applyBorder="1" applyAlignment="1">
      <x:alignment horizontal="left"/>
    </x:xf>
    <x:xf numFmtId="202" fontId="3" fillId="5" borderId="10" xfId="0" applyNumberFormat="1" applyFont="1" applyFill="1" applyBorder="1" applyAlignment="1">
      <x:alignment horizontal="left"/>
    </x:xf>
    <x:xf numFmtId="202" fontId="3" fillId="5" borderId="4" xfId="0" applyNumberFormat="1" applyFont="1" applyFill="1" applyBorder="1" applyAlignment="1">
      <x:alignment horizontal="left"/>
    </x:xf>
    <x:xf numFmtId="202" fontId="3" fillId="5" borderId="11" xfId="0" applyNumberFormat="1" applyFont="1" applyFill="1" applyBorder="1" applyAlignment="1">
      <x:alignment horizontal="left"/>
    </x:xf>
    <x:xf numFmtId="202" fontId="3" fillId="5" borderId="8" xfId="0" applyNumberFormat="1" applyFont="1" applyFill="1" applyBorder="1" applyAlignment="1">
      <x:alignment horizontal="left" vertical="center"/>
    </x:xf>
    <x:xf numFmtId="202" fontId="3" fillId="5" borderId="0" xfId="0" applyNumberFormat="1" applyFont="1" applyFill="1" applyBorder="1" applyAlignment="1">
      <x:alignment horizontal="left" vertical="center"/>
    </x:xf>
    <x:xf numFmtId="202" fontId="3" fillId="5" borderId="9" xfId="0" applyNumberFormat="1" applyFont="1" applyFill="1" applyBorder="1" applyAlignment="1">
      <x:alignment horizontal="left" vertical="center"/>
    </x:xf>
    <x:xf numFmtId="202" fontId="3" fillId="5" borderId="10" xfId="0" applyNumberFormat="1" applyFont="1" applyFill="1" applyBorder="1" applyAlignment="1">
      <x:alignment horizontal="left" vertical="center"/>
    </x:xf>
    <x:xf numFmtId="202" fontId="3" fillId="5" borderId="4" xfId="0" applyNumberFormat="1" applyFont="1" applyFill="1" applyBorder="1" applyAlignment="1">
      <x:alignment horizontal="left" vertical="center"/>
    </x:xf>
    <x:xf numFmtId="202" fontId="3" fillId="5" borderId="11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5" xfId="0" applyNumberFormat="1" applyFont="1" applyFill="1" applyBorder="1" applyAlignment="1">
      <x:alignment horizontal="left"/>
    </x:xf>
    <x:xf numFmtId="0" fontId="5" fillId="6" borderId="6" xfId="0" applyNumberFormat="1" applyFont="1" applyFill="1" applyBorder="1" applyAlignment="1">
      <x:alignment horizontal="left"/>
    </x:xf>
    <x:xf numFmtId="0" fontId="5" fillId="6" borderId="7" xfId="0" applyNumberFormat="1" applyFont="1" applyFill="1" applyBorder="1" applyAlignment="1">
      <x:alignment horizontal="left"/>
    </x:xf>
    <x:xf numFmtId="0" fontId="5" fillId="6" borderId="5" xfId="0" applyNumberFormat="1" applyFont="1" applyFill="1" applyBorder="1" applyAlignment="1">
      <x:alignment horizontal="left" vertical="center"/>
    </x:xf>
    <x:xf numFmtId="0" fontId="5" fillId="6" borderId="6" xfId="0" applyNumberFormat="1" applyFont="1" applyFill="1" applyBorder="1" applyAlignment="1">
      <x:alignment horizontal="left" vertical="center"/>
    </x:xf>
    <x:xf numFmtId="0" fontId="5" fillId="6" borderId="7" xfId="0" applyNumberFormat="1" applyFont="1" applyFill="1" applyBorder="1" applyAlignment="1">
      <x:alignment horizontal="left" vertical="center"/>
    </x:xf>
    <x:xf numFmtId="0" fontId="3" fillId="6" borderId="0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4" xfId="0" applyNumberFormat="1" applyFont="1" applyFill="1" applyBorder="1"/>
    <x:xf numFmtId="0" fontId="3" fillId="6" borderId="11" xfId="0" applyNumberFormat="1" applyFont="1" applyFill="1" applyBorder="1"/>
    <x:xf numFmtId="203" fontId="3" fillId="6" borderId="8" xfId="0" applyNumberFormat="1" applyFont="1" applyFill="1" applyBorder="1"/>
    <x:xf numFmtId="203" fontId="3" fillId="6" borderId="0" xfId="0" applyNumberFormat="1" applyFont="1" applyFill="1" applyBorder="1"/>
    <x:xf numFmtId="203" fontId="3" fillId="6" borderId="9" xfId="0" applyNumberFormat="1" applyFont="1" applyFill="1" applyBorder="1"/>
    <x:xf numFmtId="203" fontId="3" fillId="6" borderId="10" xfId="0" applyNumberFormat="1" applyFont="1" applyFill="1" applyBorder="1"/>
    <x:xf numFmtId="203" fontId="3" fillId="6" borderId="4" xfId="0" applyNumberFormat="1" applyFont="1" applyFill="1" applyBorder="1"/>
    <x:xf numFmtId="203" fontId="3" fillId="6" borderId="11" xfId="0" applyNumberFormat="1" applyFont="1" applyFill="1" applyBorder="1"/>
    <x:xf numFmtId="203" fontId="3" fillId="6" borderId="8" xfId="0" applyNumberFormat="1" applyFont="1" applyFill="1" applyBorder="1" applyAlignment="1">
      <x:alignment horizontal="left"/>
    </x:xf>
    <x:xf numFmtId="203" fontId="3" fillId="6" borderId="0" xfId="0" applyNumberFormat="1" applyFont="1" applyFill="1" applyBorder="1" applyAlignment="1">
      <x:alignment horizontal="left"/>
    </x:xf>
    <x:xf numFmtId="203" fontId="3" fillId="6" borderId="9" xfId="0" applyNumberFormat="1" applyFont="1" applyFill="1" applyBorder="1" applyAlignment="1">
      <x:alignment horizontal="left"/>
    </x:xf>
    <x:xf numFmtId="203" fontId="3" fillId="6" borderId="10" xfId="0" applyNumberFormat="1" applyFont="1" applyFill="1" applyBorder="1" applyAlignment="1">
      <x:alignment horizontal="left"/>
    </x:xf>
    <x:xf numFmtId="203" fontId="3" fillId="6" borderId="4" xfId="0" applyNumberFormat="1" applyFont="1" applyFill="1" applyBorder="1" applyAlignment="1">
      <x:alignment horizontal="left"/>
    </x:xf>
    <x:xf numFmtId="203" fontId="3" fillId="6" borderId="11" xfId="0" applyNumberFormat="1" applyFont="1" applyFill="1" applyBorder="1" applyAlignment="1">
      <x:alignment horizontal="left"/>
    </x:xf>
    <x:xf numFmtId="203" fontId="3" fillId="6" borderId="8" xfId="0" applyNumberFormat="1" applyFont="1" applyFill="1" applyBorder="1" applyAlignment="1">
      <x:alignment horizontal="left" vertical="center"/>
    </x:xf>
    <x:xf numFmtId="203" fontId="3" fillId="6" borderId="0" xfId="0" applyNumberFormat="1" applyFont="1" applyFill="1" applyBorder="1" applyAlignment="1">
      <x:alignment horizontal="left" vertical="center"/>
    </x:xf>
    <x:xf numFmtId="203" fontId="3" fillId="6" borderId="9" xfId="0" applyNumberFormat="1" applyFont="1" applyFill="1" applyBorder="1" applyAlignment="1">
      <x:alignment horizontal="left" vertical="center"/>
    </x:xf>
    <x:xf numFmtId="203" fontId="3" fillId="6" borderId="10" xfId="0" applyNumberFormat="1" applyFont="1" applyFill="1" applyBorder="1" applyAlignment="1">
      <x:alignment horizontal="left" vertical="center"/>
    </x:xf>
    <x:xf numFmtId="203" fontId="3" fillId="6" borderId="4" xfId="0" applyNumberFormat="1" applyFont="1" applyFill="1" applyBorder="1" applyAlignment="1">
      <x:alignment horizontal="left" vertical="center"/>
    </x:xf>
    <x:xf numFmtId="203" fontId="3" fillId="6" borderId="11" xfId="0" applyNumberFormat="1" applyFont="1" applyFill="1" applyBorder="1" applyAlignment="1">
      <x:alignment horizontal="left" vertic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7" xfId="0" applyNumberFormat="1" applyFont="1" applyFill="1" applyBorder="1"/>
    <x:xf numFmtId="0" fontId="5" fillId="7" borderId="5" xfId="0" applyNumberFormat="1" applyFont="1" applyFill="1" applyBorder="1" applyAlignment="1">
      <x:alignment horizontal="left"/>
    </x:xf>
    <x:xf numFmtId="0" fontId="5" fillId="7" borderId="7" xfId="0" applyNumberFormat="1" applyFont="1" applyFill="1" applyBorder="1" applyAlignment="1">
      <x:alignment horizontal="left"/>
    </x:xf>
    <x:xf numFmtId="0" fontId="5" fillId="7" borderId="5" xfId="0" applyNumberFormat="1" applyFont="1" applyFill="1" applyBorder="1" applyAlignment="1">
      <x:alignment horizontal="left" vertical="center"/>
    </x:xf>
    <x:xf numFmtId="0" fontId="5" fillId="7" borderId="7" xfId="0" applyNumberFormat="1" applyFont="1" applyFill="1" applyBorder="1" applyAlignment="1">
      <x:alignment horizontal="left" vertical="center"/>
    </x:xf>
    <x:xf numFmtId="0" fontId="3" fillId="7" borderId="0" xfId="0" applyNumberFormat="1" applyFont="1" applyFill="1" applyBorder="1"/>
    <x:xf numFmtId="0" fontId="3" fillId="7" borderId="8" xfId="0" applyNumberFormat="1" applyFont="1" applyFill="1" applyBorder="1"/>
    <x:xf numFmtId="0" fontId="3" fillId="7" borderId="9" xfId="0" applyNumberFormat="1" applyFont="1" applyFill="1" applyBorder="1"/>
    <x:xf numFmtId="0" fontId="3" fillId="7" borderId="10" xfId="0" applyNumberFormat="1" applyFont="1" applyFill="1" applyBorder="1"/>
    <x:xf numFmtId="0" fontId="3" fillId="7" borderId="11" xfId="0" applyNumberFormat="1" applyFont="1" applyFill="1" applyBorder="1"/>
    <x:xf numFmtId="203" fontId="3" fillId="7" borderId="8" xfId="0" applyNumberFormat="1" applyFont="1" applyFill="1" applyBorder="1"/>
    <x:xf numFmtId="203" fontId="3" fillId="7" borderId="9" xfId="0" applyNumberFormat="1" applyFont="1" applyFill="1" applyBorder="1"/>
    <x:xf numFmtId="203" fontId="3" fillId="7" borderId="10" xfId="0" applyNumberFormat="1" applyFont="1" applyFill="1" applyBorder="1"/>
    <x:xf numFmtId="203" fontId="3" fillId="7" borderId="11" xfId="0" applyNumberFormat="1" applyFont="1" applyFill="1" applyBorder="1"/>
    <x:xf numFmtId="203" fontId="3" fillId="7" borderId="8" xfId="0" applyNumberFormat="1" applyFont="1" applyFill="1" applyBorder="1" applyAlignment="1">
      <x:alignment horizontal="left"/>
    </x:xf>
    <x:xf numFmtId="203" fontId="3" fillId="7" borderId="9" xfId="0" applyNumberFormat="1" applyFont="1" applyFill="1" applyBorder="1" applyAlignment="1">
      <x:alignment horizontal="left"/>
    </x:xf>
    <x:xf numFmtId="203" fontId="3" fillId="7" borderId="10" xfId="0" applyNumberFormat="1" applyFont="1" applyFill="1" applyBorder="1" applyAlignment="1">
      <x:alignment horizontal="left"/>
    </x:xf>
    <x:xf numFmtId="203" fontId="3" fillId="7" borderId="11" xfId="0" applyNumberFormat="1" applyFont="1" applyFill="1" applyBorder="1" applyAlignment="1">
      <x:alignment horizontal="left"/>
    </x:xf>
    <x:xf numFmtId="203" fontId="3" fillId="7" borderId="8" xfId="0" applyNumberFormat="1" applyFont="1" applyFill="1" applyBorder="1" applyAlignment="1">
      <x:alignment horizontal="left" vertical="center"/>
    </x:xf>
    <x:xf numFmtId="203" fontId="3" fillId="7" borderId="9" xfId="0" applyNumberFormat="1" applyFont="1" applyFill="1" applyBorder="1" applyAlignment="1">
      <x:alignment horizontal="left" vertical="center"/>
    </x:xf>
    <x:xf numFmtId="203" fontId="3" fillId="7" borderId="10" xfId="0" applyNumberFormat="1" applyFont="1" applyFill="1" applyBorder="1" applyAlignment="1">
      <x:alignment horizontal="left" vertical="center"/>
    </x:xf>
    <x:xf numFmtId="203" fontId="3" fillId="7" borderId="1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4" xfId="0" applyNumberFormat="1" applyFont="1" applyFill="1" applyBorder="1" applyAlignment="1">
      <x:alignment vertical="center"/>
    </x:xf>
    <x:xf numFmtId="201" fontId="3" fillId="3" borderId="8" xfId="0" applyNumberFormat="1" applyFont="1" applyFill="1" applyBorder="1"/>
    <x:xf numFmtId="201" fontId="3" fillId="3" borderId="0" xfId="0" applyNumberFormat="1" applyFont="1" applyFill="1" applyBorder="1"/>
    <x:xf numFmtId="201" fontId="3" fillId="3" borderId="9" xfId="0" applyNumberFormat="1" applyFont="1" applyFill="1" applyBorder="1"/>
    <x:xf numFmtId="201" fontId="3" fillId="3" borderId="10" xfId="0" applyNumberFormat="1" applyFont="1" applyFill="1" applyBorder="1"/>
    <x:xf numFmtId="201" fontId="3" fillId="3" borderId="4" xfId="0" applyNumberFormat="1" applyFont="1" applyFill="1" applyBorder="1"/>
    <x:xf numFmtId="201" fontId="3" fillId="3" borderId="11" xfId="0" applyNumberFormat="1" applyFont="1" applyFill="1" applyBorder="1"/>
    <x:xf numFmtId="201" fontId="3" fillId="3" borderId="8" xfId="0" applyNumberFormat="1" applyFont="1" applyFill="1" applyBorder="1" applyAlignment="1">
      <x:alignment horizontal="left"/>
    </x:xf>
    <x:xf numFmtId="201" fontId="3" fillId="3" borderId="0" xfId="0" applyNumberFormat="1" applyFont="1" applyFill="1" applyBorder="1" applyAlignment="1">
      <x:alignment horizontal="left"/>
    </x:xf>
    <x:xf numFmtId="201" fontId="3" fillId="3" borderId="9" xfId="0" applyNumberFormat="1" applyFont="1" applyFill="1" applyBorder="1" applyAlignment="1">
      <x:alignment horizontal="left"/>
    </x:xf>
    <x:xf numFmtId="201" fontId="3" fillId="3" borderId="10" xfId="0" applyNumberFormat="1" applyFont="1" applyFill="1" applyBorder="1" applyAlignment="1">
      <x:alignment horizontal="left"/>
    </x:xf>
    <x:xf numFmtId="201" fontId="3" fillId="3" borderId="4" xfId="0" applyNumberFormat="1" applyFont="1" applyFill="1" applyBorder="1" applyAlignment="1">
      <x:alignment horizontal="left"/>
    </x:xf>
    <x:xf numFmtId="201" fontId="3" fillId="3" borderId="11" xfId="0" applyNumberFormat="1" applyFont="1" applyFill="1" applyBorder="1" applyAlignment="1">
      <x:alignment horizontal="left"/>
    </x:xf>
    <x:xf numFmtId="201" fontId="3" fillId="3" borderId="8" xfId="0" applyNumberFormat="1" applyFont="1" applyFill="1" applyBorder="1" applyAlignment="1">
      <x:alignment horizontal="left" vertical="center"/>
    </x:xf>
    <x:xf numFmtId="201" fontId="3" fillId="3" borderId="0" xfId="0" applyNumberFormat="1" applyFont="1" applyFill="1" applyBorder="1" applyAlignment="1">
      <x:alignment horizontal="left" vertical="center"/>
    </x:xf>
    <x:xf numFmtId="201" fontId="3" fillId="3" borderId="9" xfId="0" applyNumberFormat="1" applyFont="1" applyFill="1" applyBorder="1" applyAlignment="1">
      <x:alignment horizontal="left" vertical="center"/>
    </x:xf>
    <x:xf numFmtId="201" fontId="3" fillId="3" borderId="10" xfId="0" applyNumberFormat="1" applyFont="1" applyFill="1" applyBorder="1" applyAlignment="1">
      <x:alignment horizontal="left" vertical="center"/>
    </x:xf>
    <x:xf numFmtId="201" fontId="3" fillId="3" borderId="4" xfId="0" applyNumberFormat="1" applyFont="1" applyFill="1" applyBorder="1" applyAlignment="1">
      <x:alignment horizontal="left" vertical="center"/>
    </x:xf>
    <x:xf numFmtId="201" fontId="3" fillId="3" borderId="11" xfId="0" applyNumberFormat="1" applyFont="1" applyFill="1" applyBorder="1" applyAlignment="1">
      <x:alignment horizontal="left" vertical="center"/>
    </x:xf>
    <x:xf numFmtId="203" fontId="3" fillId="5" borderId="8" xfId="0" applyNumberFormat="1" applyFont="1" applyFill="1" applyBorder="1"/>
    <x:xf numFmtId="203" fontId="3" fillId="5" borderId="0" xfId="0" applyNumberFormat="1" applyFont="1" applyFill="1" applyBorder="1"/>
    <x:xf numFmtId="203" fontId="3" fillId="5" borderId="9" xfId="0" applyNumberFormat="1" applyFont="1" applyFill="1" applyBorder="1"/>
    <x:xf numFmtId="203" fontId="3" fillId="5" borderId="10" xfId="0" applyNumberFormat="1" applyFont="1" applyFill="1" applyBorder="1"/>
    <x:xf numFmtId="203" fontId="3" fillId="5" borderId="4" xfId="0" applyNumberFormat="1" applyFont="1" applyFill="1" applyBorder="1"/>
    <x:xf numFmtId="203" fontId="3" fillId="5" borderId="11" xfId="0" applyNumberFormat="1" applyFont="1" applyFill="1" applyBorder="1"/>
    <x:xf numFmtId="203" fontId="3" fillId="5" borderId="8" xfId="0" applyNumberFormat="1" applyFont="1" applyFill="1" applyBorder="1" applyAlignment="1">
      <x:alignment horizontal="left"/>
    </x:xf>
    <x:xf numFmtId="203" fontId="3" fillId="5" borderId="0" xfId="0" applyNumberFormat="1" applyFont="1" applyFill="1" applyBorder="1" applyAlignment="1">
      <x:alignment horizontal="left"/>
    </x:xf>
    <x:xf numFmtId="203" fontId="3" fillId="5" borderId="9" xfId="0" applyNumberFormat="1" applyFont="1" applyFill="1" applyBorder="1" applyAlignment="1">
      <x:alignment horizontal="left"/>
    </x:xf>
    <x:xf numFmtId="203" fontId="3" fillId="5" borderId="10" xfId="0" applyNumberFormat="1" applyFont="1" applyFill="1" applyBorder="1" applyAlignment="1">
      <x:alignment horizontal="left"/>
    </x:xf>
    <x:xf numFmtId="203" fontId="3" fillId="5" borderId="4" xfId="0" applyNumberFormat="1" applyFont="1" applyFill="1" applyBorder="1" applyAlignment="1">
      <x:alignment horizontal="left"/>
    </x:xf>
    <x:xf numFmtId="203" fontId="3" fillId="5" borderId="11" xfId="0" applyNumberFormat="1" applyFont="1" applyFill="1" applyBorder="1" applyAlignment="1">
      <x:alignment horizontal="left"/>
    </x:xf>
    <x:xf numFmtId="203" fontId="3" fillId="5" borderId="8" xfId="0" applyNumberFormat="1" applyFont="1" applyFill="1" applyBorder="1" applyAlignment="1">
      <x:alignment horizontal="left" vertical="center"/>
    </x:xf>
    <x:xf numFmtId="203" fontId="3" fillId="5" borderId="0" xfId="0" applyNumberFormat="1" applyFont="1" applyFill="1" applyBorder="1" applyAlignment="1">
      <x:alignment horizontal="left" vertical="center"/>
    </x:xf>
    <x:xf numFmtId="203" fontId="3" fillId="5" borderId="9" xfId="0" applyNumberFormat="1" applyFont="1" applyFill="1" applyBorder="1" applyAlignment="1">
      <x:alignment horizontal="left" vertical="center"/>
    </x:xf>
    <x:xf numFmtId="203" fontId="3" fillId="5" borderId="10" xfId="0" applyNumberFormat="1" applyFont="1" applyFill="1" applyBorder="1" applyAlignment="1">
      <x:alignment horizontal="left" vertical="center"/>
    </x:xf>
    <x:xf numFmtId="203" fontId="3" fillId="5" borderId="4" xfId="0" applyNumberFormat="1" applyFont="1" applyFill="1" applyBorder="1" applyAlignment="1">
      <x:alignment horizontal="left" vertical="center"/>
    </x:xf>
    <x:xf numFmtId="203" fontId="3" fillId="5" borderId="11" xfId="0" applyNumberFormat="1" applyFont="1" applyFill="1" applyBorder="1" applyAlignment="1">
      <x:alignment horizontal="left" vertical="center"/>
    </x:xf>
    <x:xf numFmtId="0" fontId="5" fillId="7" borderId="6" xfId="0" applyNumberFormat="1" applyFont="1" applyFill="1" applyBorder="1"/>
    <x:xf numFmtId="0" fontId="5" fillId="7" borderId="6" xfId="0" applyNumberFormat="1" applyFont="1" applyFill="1" applyBorder="1" applyAlignment="1">
      <x:alignment horizontal="left"/>
    </x:xf>
    <x:xf numFmtId="0" fontId="5" fillId="7" borderId="6" xfId="0" applyNumberFormat="1" applyFont="1" applyFill="1" applyBorder="1" applyAlignment="1">
      <x:alignment horizontal="left" vertical="center"/>
    </x:xf>
    <x:xf numFmtId="0" fontId="3" fillId="7" borderId="4" xfId="0" applyNumberFormat="1" applyFont="1" applyFill="1" applyBorder="1"/>
    <x:xf numFmtId="203" fontId="3" fillId="7" borderId="0" xfId="0" applyNumberFormat="1" applyFont="1" applyFill="1" applyBorder="1"/>
    <x:xf numFmtId="203" fontId="3" fillId="7" borderId="4" xfId="0" applyNumberFormat="1" applyFont="1" applyFill="1" applyBorder="1"/>
    <x:xf numFmtId="203" fontId="3" fillId="7" borderId="0" xfId="0" applyNumberFormat="1" applyFont="1" applyFill="1" applyBorder="1" applyAlignment="1">
      <x:alignment horizontal="left"/>
    </x:xf>
    <x:xf numFmtId="203" fontId="3" fillId="7" borderId="4" xfId="0" applyNumberFormat="1" applyFont="1" applyFill="1" applyBorder="1" applyAlignment="1">
      <x:alignment horizontal="left"/>
    </x:xf>
    <x:xf numFmtId="203" fontId="3" fillId="7" borderId="0" xfId="0" applyNumberFormat="1" applyFont="1" applyFill="1" applyBorder="1" applyAlignment="1">
      <x:alignment horizontal="left" vertical="center"/>
    </x:xf>
    <x:xf numFmtId="203" fontId="3" fillId="7" borderId="4" xfId="0" applyNumberFormat="1" applyFont="1" applyFill="1" applyBorder="1" applyAlignment="1">
      <x:alignment horizontal="left" vertical="center"/>
    </x:xf>
    <x:xf numFmtId="204" fontId="3" fillId="3" borderId="8" xfId="0" applyNumberFormat="1" applyFont="1" applyFill="1" applyBorder="1"/>
    <x:xf numFmtId="204" fontId="3" fillId="3" borderId="0" xfId="0" applyNumberFormat="1" applyFont="1" applyFill="1" applyBorder="1"/>
    <x:xf numFmtId="204" fontId="3" fillId="3" borderId="9" xfId="0" applyNumberFormat="1" applyFont="1" applyFill="1" applyBorder="1"/>
    <x:xf numFmtId="204" fontId="3" fillId="3" borderId="10" xfId="0" applyNumberFormat="1" applyFont="1" applyFill="1" applyBorder="1"/>
    <x:xf numFmtId="204" fontId="3" fillId="3" borderId="4" xfId="0" applyNumberFormat="1" applyFont="1" applyFill="1" applyBorder="1"/>
    <x:xf numFmtId="204" fontId="3" fillId="3" borderId="11" xfId="0" applyNumberFormat="1" applyFont="1" applyFill="1" applyBorder="1"/>
    <x:xf numFmtId="204" fontId="3" fillId="3" borderId="8" xfId="0" applyNumberFormat="1" applyFont="1" applyFill="1" applyBorder="1" applyAlignment="1">
      <x:alignment horizontal="left"/>
    </x:xf>
    <x:xf numFmtId="204" fontId="3" fillId="3" borderId="0" xfId="0" applyNumberFormat="1" applyFont="1" applyFill="1" applyBorder="1" applyAlignment="1">
      <x:alignment horizontal="left"/>
    </x:xf>
    <x:xf numFmtId="204" fontId="3" fillId="3" borderId="9" xfId="0" applyNumberFormat="1" applyFont="1" applyFill="1" applyBorder="1" applyAlignment="1">
      <x:alignment horizontal="left"/>
    </x:xf>
    <x:xf numFmtId="204" fontId="3" fillId="3" borderId="10" xfId="0" applyNumberFormat="1" applyFont="1" applyFill="1" applyBorder="1" applyAlignment="1">
      <x:alignment horizontal="left"/>
    </x:xf>
    <x:xf numFmtId="204" fontId="3" fillId="3" borderId="4" xfId="0" applyNumberFormat="1" applyFont="1" applyFill="1" applyBorder="1" applyAlignment="1">
      <x:alignment horizontal="left"/>
    </x:xf>
    <x:xf numFmtId="204" fontId="3" fillId="3" borderId="11" xfId="0" applyNumberFormat="1" applyFont="1" applyFill="1" applyBorder="1" applyAlignment="1">
      <x:alignment horizontal="left"/>
    </x:xf>
    <x:xf numFmtId="204" fontId="3" fillId="3" borderId="8" xfId="0" applyNumberFormat="1" applyFont="1" applyFill="1" applyBorder="1" applyAlignment="1">
      <x:alignment horizontal="left" vertical="center"/>
    </x:xf>
    <x:xf numFmtId="204" fontId="3" fillId="3" borderId="0" xfId="0" applyNumberFormat="1" applyFont="1" applyFill="1" applyBorder="1" applyAlignment="1">
      <x:alignment horizontal="left" vertical="center"/>
    </x:xf>
    <x:xf numFmtId="204" fontId="3" fillId="3" borderId="9" xfId="0" applyNumberFormat="1" applyFont="1" applyFill="1" applyBorder="1" applyAlignment="1">
      <x:alignment horizontal="left" vertical="center"/>
    </x:xf>
    <x:xf numFmtId="204" fontId="3" fillId="3" borderId="10" xfId="0" applyNumberFormat="1" applyFont="1" applyFill="1" applyBorder="1" applyAlignment="1">
      <x:alignment horizontal="left" vertical="center"/>
    </x:xf>
    <x:xf numFmtId="204" fontId="3" fillId="3" borderId="4" xfId="0" applyNumberFormat="1" applyFont="1" applyFill="1" applyBorder="1" applyAlignment="1">
      <x:alignment horizontal="left" vertical="center"/>
    </x:xf>
    <x:xf numFmtId="204" fontId="3" fillId="3" borderId="1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bbe70635e4e60" /><Relationship Type="http://schemas.openxmlformats.org/officeDocument/2006/relationships/theme" Target="/xl/theme/theme1.xml" Id="Ra867f19887d54deb" /><Relationship Type="http://schemas.openxmlformats.org/officeDocument/2006/relationships/sharedStrings" Target="/xl/sharedStrings.xml" Id="R5bc1e0240ae6472c" /><Relationship Type="http://schemas.openxmlformats.org/officeDocument/2006/relationships/worksheet" Target="/xl/worksheets/sheet1.xml" Id="R4ba5cb39ac824cc2" /><Relationship Type="http://schemas.openxmlformats.org/officeDocument/2006/relationships/worksheet" Target="/xl/worksheets/sheet2.xml" Id="Rf170fdd756654129" /><Relationship Type="http://schemas.openxmlformats.org/officeDocument/2006/relationships/worksheet" Target="/xl/worksheets/sheet3.xml" Id="Rf787d131746f4e30" /><Relationship Type="http://schemas.openxmlformats.org/officeDocument/2006/relationships/worksheet" Target="/xl/worksheets/sheet4.xml" Id="Rfdbb913aebaf4c20" /><Relationship Type="http://schemas.openxmlformats.org/officeDocument/2006/relationships/worksheet" Target="/xl/worksheets/sheet5.xml" Id="Raaa79628d1b949be" /><Relationship Type="http://schemas.openxmlformats.org/officeDocument/2006/relationships/worksheet" Target="/xl/worksheets/sheet6.xml" Id="Rc6ba83e7d7754ce6" /><Relationship Type="http://schemas.openxmlformats.org/officeDocument/2006/relationships/worksheet" Target="/xl/worksheets/sheet7.xml" Id="Ra979bc95b7a54c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e21e08c0784c78" /><Relationship Type="http://schemas.openxmlformats.org/officeDocument/2006/relationships/chart" Target="/xl/drawings/charts/chart2.xml" Id="Rb5e5eba0c9a3417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347da736dfa44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26a0bf11c8b41a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04c412ad9044d04" /><Relationship Type="http://schemas.openxmlformats.org/officeDocument/2006/relationships/chart" Target="/xl/drawings/charts/chart6.xml" Id="R515ffbaff4f742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realized GMV (BRL)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Realized GMV</c:v>
          </c:tx>
          <c:marker>
            <c:symbol val="none"/>
          </c:marker>
          <c:cat>
            <c:strRef>
              <c:f>'Executive'!$A$12:$A$31</c:f>
              <c:strCache>
                <c:ptCount val="0"/>
              </c:strCache>
            </c:strRef>
          </c:cat>
          <c:val>
            <c:numRef>
              <c:f>'Executive'!$B$12:$B$31</c:f>
              <c:numCache>
                <c:formatCode>"R$"#,##0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Top 10 categories by realized GMV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Realized GMV</c:v>
          </c:tx>
          <c:cat>
            <c:strRef>
              <c:f>'Executive'!$A$35:$A$44</c:f>
              <c:strCache>
                <c:ptCount val="0"/>
              </c:strCache>
            </c:strRef>
          </c:cat>
          <c:val>
            <c:numRef>
              <c:f>'Executive'!$B$35:$B$44</c:f>
              <c:numCache>
                <c:formatCode>"R$"#,##0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0.0,,&quot;M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RFM segment value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Realized GMV</c:v>
          </c:tx>
          <c:cat>
            <c:strRef>
              <c:f>'Customer Intelligence'!$A$12:$A$16</c:f>
              <c:strCache>
                <c:ptCount val="0"/>
              </c:strCache>
            </c:strRef>
          </c:cat>
          <c:val>
            <c:numRef>
              <c:f>'Customer Intelligence'!$D$12:$D$16</c:f>
              <c:numCache>
                <c:formatCode>"R$"#,##0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Top states by realized GMV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Realized GMV</c:v>
          </c:tx>
          <c:cat>
            <c:strRef>
              <c:f>'Market Performance'!$A$8:$A$19</c:f>
              <c:strCache>
                <c:ptCount val="0"/>
              </c:strCache>
            </c:strRef>
          </c:cat>
          <c:val>
            <c:numRef>
              <c:f>'Market Performance'!$D$8:$D$19</c:f>
              <c:numCache>
                <c:formatCode>"R$"#,##0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Delivery timing and customer review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Average Review</c:v>
          </c:tx>
          <c:cat>
            <c:strRef>
              <c:f>'Delivery &amp; Experience'!$A$12:$A$16</c:f>
              <c:strCache>
                <c:ptCount val="0"/>
              </c:strCache>
            </c:strRef>
          </c:cat>
          <c:val>
            <c:numRef>
              <c:f>'Delivery &amp; Experience'!$C$12:$C$16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On-time rate by state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On-Time Rate</c:v>
          </c:tx>
          <c:cat>
            <c:strRef>
              <c:f>'Delivery &amp; Experience'!$A$29:$A$40</c:f>
              <c:strCache>
                <c:ptCount val="0"/>
              </c:strCache>
            </c:strRef>
          </c:cat>
          <c:val>
            <c:numRef>
              <c:f>'Delivery &amp; Experience'!$C$29:$C$40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e21e08c0784c78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e5eba0c9a3417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47da736dfa44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6a0bf11c8b41a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4c412ad9044d04"/>
        </a:graphicData>
      </a:graphic>
    </xdr:graphicFrame>
    <xdr:clientData/>
  </xdr:twoCellAnchor>
  <xdr:twoCellAnchor>
    <xdr:from>
      <xdr:col>5</xdr:col>
      <xdr:colOff>0</xdr:colOff>
      <xdr:row>27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5ffbaff4f7426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9f8a4e326441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b885194a51947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ed6f563201a4c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6c6e81defee64f2c" /></Relationships>
</file>

<file path=xl/worksheets/sheet1.xml><?xml version="1.0" encoding="utf-8"?>
<x:worksheet xmlns:x="http://schemas.openxmlformats.org/spreadsheetml/2006/main">
  <x:sheetPr>
    <x:tabColor rgb="FF2457D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8" customHeight="1">
      <x:c r="A2" s="31" t="str">
        <x:v>E-Commerce Revenue &amp; Customer Intelligence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32" t="str">
        <x:v>Executive view of delivered GMV, customer demand, and commercial performance · Olist public dataset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41" t="str">
        <x:v>Realized GMV</x:v>
      </x:c>
      <x:c r="B6" s="42" t="str">
        <x:v>Realized GMV</x:v>
      </x:c>
      <x:c r="C6" s="43" t="str">
        <x:v>Realized GMV</x:v>
      </x:c>
      <x:c r="D6" s="76" t="str">
        <x:v>Delivered Orders</x:v>
      </x:c>
      <x:c r="E6" s="77" t="str">
        <x:v>Delivered Orders</x:v>
      </x:c>
      <x:c r="F6" s="78" t="str">
        <x:v>Delivered Orders</x:v>
      </x:c>
      <x:c r="G6" s="111" t="str">
        <x:v>Average Order Value</x:v>
      </x:c>
      <x:c r="H6" s="112" t="str">
        <x:v>Average Order Value</x:v>
      </x:c>
      <x:c r="I6" s="113" t="str">
        <x:v>Average Order Value</x:v>
      </x:c>
      <x:c r="J6" s="146" t="str">
        <x:v>Repeat Customer Rate</x:v>
      </x:c>
      <x:c r="K6" s="147" t="str">
        <x:v>Repeat Customer Rate</x:v>
      </x:c>
      <x:c r="L6" s="148" t="str">
        <x:v>Repeat Customer Rate</x:v>
      </x:c>
      <x:c r="M6" s="179" t="str">
        <x:v>On-Time Rate</x:v>
      </x:c>
      <x:c r="N6" s="180" t="str">
        <x:v>On-Time Rate</x:v>
      </x:c>
    </x:row>
    <x:row r="7">
      <x:c r="A7" s="62" t="n">
        <x:f>'Data_Summary'!B4</x:f>
        <x:v>13221498.11</x:v>
      </x:c>
      <x:c r="B7" s="63"/>
      <x:c r="C7" s="64"/>
      <x:c r="D7" s="97" t="n">
        <x:f>'Data_Summary'!B3</x:f>
        <x:v>96478</x:v>
      </x:c>
      <x:c r="E7" s="98"/>
      <x:c r="F7" s="99"/>
      <x:c r="G7" s="132" t="n">
        <x:f>'Data_Summary'!B5</x:f>
        <x:v>137.04</x:v>
      </x:c>
      <x:c r="H7" s="133"/>
      <x:c r="I7" s="134"/>
      <x:c r="J7" s="167" t="n">
        <x:f>'Data_Summary'!B7</x:f>
        <x:v>0.03000278497825575</x:v>
      </x:c>
      <x:c r="K7" s="168"/>
      <x:c r="L7" s="169"/>
      <x:c r="M7" s="194" t="n">
        <x:f>'Data_Summary'!B8</x:f>
        <x:v>0.9188710145528421</x:v>
      </x:c>
      <x:c r="N7" s="195"/>
    </x:row>
    <x:row r="8">
      <x:c r="A8" s="65"/>
      <x:c r="B8" s="66"/>
      <x:c r="C8" s="67"/>
      <x:c r="D8" s="100"/>
      <x:c r="E8" s="101"/>
      <x:c r="F8" s="102"/>
      <x:c r="G8" s="135"/>
      <x:c r="H8" s="136"/>
      <x:c r="I8" s="137"/>
      <x:c r="J8" s="170"/>
      <x:c r="K8" s="171"/>
      <x:c r="L8" s="172"/>
      <x:c r="M8" s="196"/>
      <x:c r="N8" s="197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4" customHeight="1">
      <x:c r="A10" s="198" t="str">
        <x:v>Monthly commercial performance · complete core period</x:v>
      </x:c>
      <x:c r="B10" s="198" t="str">
        <x:v>Monthly commercial performance · complete core period</x:v>
      </x:c>
      <x:c r="C10" s="198" t="str">
        <x:v>Monthly commercial performance · complete core period</x:v>
      </x:c>
      <x:c r="D10" s="198" t="str">
        <x:v>Monthly commercial performance · complete core period</x:v>
      </x:c>
      <x:c r="E10" s="198" t="str">
        <x:v>Monthly commercial performance · complete core period</x:v>
      </x:c>
      <x:c r="F10" s="198" t="str">
        <x:v>Monthly commercial performance · complete core period</x:v>
      </x:c>
      <x:c r="G10" s="198" t="str">
        <x:v>Monthly commercial performance · complete core period</x:v>
      </x:c>
      <x:c r="H10" s="198" t="str">
        <x:v>Monthly commercial performance · complete core period</x:v>
      </x:c>
      <x:c r="I10" s="198" t="str">
        <x:v>Monthly commercial performance · complete core period</x:v>
      </x:c>
      <x:c r="J10" s="198" t="str">
        <x:v>Monthly commercial performance · complete core period</x:v>
      </x:c>
      <x:c r="K10" s="198" t="str">
        <x:v>Monthly commercial performance · complete core period</x:v>
      </x:c>
      <x:c r="L10" s="198" t="str">
        <x:v>Monthly commercial performance · complete core period</x:v>
      </x:c>
      <x:c r="M10" s="198" t="str">
        <x:v>Monthly commercial performance · complete core period</x:v>
      </x:c>
      <x:c r="N10" s="198" t="str">
        <x:v>Monthly commercial performance · complete core period</x:v>
      </x:c>
    </x:row>
    <x:row r="11" ht="28" customHeight="1">
      <x:c r="A11" s="13" t="str">
        <x:v>Month</x:v>
      </x:c>
      <x:c r="B11" s="14" t="str">
        <x:v>Realized GMV</x:v>
      </x:c>
      <x:c r="C11" s="15" t="str">
        <x:v>Delivered Orders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1" customHeight="1">
      <x:c r="A12" s="17" t="str">
        <x:v>2017-01</x:v>
      </x:c>
      <x:c r="B12" s="199" t="n">
        <x:v>111798.36</x:v>
      </x:c>
      <x:c r="C12" s="23" t="n">
        <x:v>750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1" customHeight="1">
      <x:c r="A13" s="17" t="str">
        <x:v>2017-02</x:v>
      </x:c>
      <x:c r="B13" s="199" t="n">
        <x:v>234223.4</x:v>
      </x:c>
      <x:c r="C13" s="23" t="n">
        <x:v>1653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1" customHeight="1">
      <x:c r="A14" s="17" t="str">
        <x:v>2017-03</x:v>
      </x:c>
      <x:c r="B14" s="199" t="n">
        <x:v>359198.85</x:v>
      </x:c>
      <x:c r="C14" s="23" t="n">
        <x:v>2546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1" customHeight="1">
      <x:c r="A15" s="17" t="str">
        <x:v>2017-04</x:v>
      </x:c>
      <x:c r="B15" s="199" t="n">
        <x:v>340669.68</x:v>
      </x:c>
      <x:c r="C15" s="23" t="n">
        <x:v>2303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1" customHeight="1">
      <x:c r="A16" s="17" t="str">
        <x:v>2017-05</x:v>
      </x:c>
      <x:c r="B16" s="199" t="n">
        <x:v>489338.25</x:v>
      </x:c>
      <x:c r="C16" s="23" t="n">
        <x:v>3546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1" customHeight="1">
      <x:c r="A17" s="17" t="str">
        <x:v>2017-06</x:v>
      </x:c>
      <x:c r="B17" s="199" t="n">
        <x:v>421923.37</x:v>
      </x:c>
      <x:c r="C17" s="23" t="n">
        <x:v>3135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1" customHeight="1">
      <x:c r="A18" s="17" t="str">
        <x:v>2017-07</x:v>
      </x:c>
      <x:c r="B18" s="199" t="n">
        <x:v>481604.52</x:v>
      </x:c>
      <x:c r="C18" s="23" t="n">
        <x:v>3872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1" customHeight="1">
      <x:c r="A19" s="17" t="str">
        <x:v>2017-08</x:v>
      </x:c>
      <x:c r="B19" s="199" t="n">
        <x:v>554699.7</x:v>
      </x:c>
      <x:c r="C19" s="23" t="n">
        <x:v>4193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1" customHeight="1">
      <x:c r="A20" s="17" t="str">
        <x:v>2017-09</x:v>
      </x:c>
      <x:c r="B20" s="199" t="n">
        <x:v>607399.67</x:v>
      </x:c>
      <x:c r="C20" s="23" t="n">
        <x:v>4150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1" customHeight="1">
      <x:c r="A21" s="17" t="str">
        <x:v>2017-10</x:v>
      </x:c>
      <x:c r="B21" s="199" t="n">
        <x:v>648247.65</x:v>
      </x:c>
      <x:c r="C21" s="23" t="n">
        <x:v>4478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1" customHeight="1">
      <x:c r="A22" s="17" t="str">
        <x:v>2017-11</x:v>
      </x:c>
      <x:c r="B22" s="199" t="n">
        <x:v>987765.37</x:v>
      </x:c>
      <x:c r="C22" s="23" t="n">
        <x:v>7289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1" customHeight="1">
      <x:c r="A23" s="17" t="str">
        <x:v>2017-12</x:v>
      </x:c>
      <x:c r="B23" s="199" t="n">
        <x:v>726033.1900000001</x:v>
      </x:c>
      <x:c r="C23" s="23" t="n">
        <x:v>5513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1" customHeight="1">
      <x:c r="A24" s="17" t="str">
        <x:v>2018-01</x:v>
      </x:c>
      <x:c r="B24" s="199" t="n">
        <x:v>924645</x:v>
      </x:c>
      <x:c r="C24" s="23" t="n">
        <x:v>7069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1" customHeight="1">
      <x:c r="A25" s="17" t="str">
        <x:v>2018-02</x:v>
      </x:c>
      <x:c r="B25" s="199" t="n">
        <x:v>826437.13</x:v>
      </x:c>
      <x:c r="C25" s="23" t="n">
        <x:v>6555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1" customHeight="1">
      <x:c r="A26" s="17" t="str">
        <x:v>2018-03</x:v>
      </x:c>
      <x:c r="B26" s="199" t="n">
        <x:v>953356.25</x:v>
      </x:c>
      <x:c r="C26" s="23" t="n">
        <x:v>7003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1" customHeight="1">
      <x:c r="A27" s="17" t="str">
        <x:v>2018-04</x:v>
      </x:c>
      <x:c r="B27" s="199" t="n">
        <x:v>973534.09</x:v>
      </x:c>
      <x:c r="C27" s="23" t="n">
        <x:v>6798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1" customHeight="1">
      <x:c r="A28" s="17" t="str">
        <x:v>2018-05</x:v>
      </x:c>
      <x:c r="B28" s="199" t="n">
        <x:v>977544.6900000001</x:v>
      </x:c>
      <x:c r="C28" s="23" t="n">
        <x:v>6749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1" customHeight="1">
      <x:c r="A29" s="17" t="str">
        <x:v>2018-06</x:v>
      </x:c>
      <x:c r="B29" s="199" t="n">
        <x:v>856077.86</x:v>
      </x:c>
      <x:c r="C29" s="23" t="n">
        <x:v>6099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1" customHeight="1">
      <x:c r="A30" s="17" t="str">
        <x:v>2018-07</x:v>
      </x:c>
      <x:c r="B30" s="199" t="n">
        <x:v>867953.46</x:v>
      </x:c>
      <x:c r="C30" s="23" t="n">
        <x:v>6159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1" customHeight="1">
      <x:c r="A31" s="18" t="str">
        <x:v>2018-08</x:v>
      </x:c>
      <x:c r="B31" s="200" t="n">
        <x:v>838576.64</x:v>
      </x:c>
      <x:c r="C31" s="24" t="n">
        <x:v>6351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4" customHeight="1">
      <x:c r="A33" s="198" t="str">
        <x:v>Top product categories</x:v>
      </x:c>
      <x:c r="B33" s="198" t="str">
        <x:v>Top product categories</x:v>
      </x:c>
      <x:c r="C33" s="198" t="str">
        <x:v>Top product categories</x:v>
      </x:c>
      <x:c r="D33" s="198" t="str">
        <x:v>Top product categories</x:v>
      </x:c>
      <x:c r="E33" s="198" t="str">
        <x:v>Top product categories</x:v>
      </x:c>
      <x:c r="F33" s="198" t="str">
        <x:v>Top product categories</x:v>
      </x:c>
      <x:c r="G33" s="198" t="str">
        <x:v>Top product categories</x:v>
      </x:c>
      <x:c r="H33" s="198" t="str">
        <x:v>Top product categories</x:v>
      </x:c>
      <x:c r="I33" s="198" t="str">
        <x:v>Top product categories</x:v>
      </x:c>
      <x:c r="J33" s="198" t="str">
        <x:v>Top product categories</x:v>
      </x:c>
      <x:c r="K33" s="198" t="str">
        <x:v>Top product categories</x:v>
      </x:c>
      <x:c r="L33" s="198" t="str">
        <x:v>Top product categories</x:v>
      </x:c>
      <x:c r="M33" s="198" t="str">
        <x:v>Top product categories</x:v>
      </x:c>
      <x:c r="N33" s="198" t="str">
        <x:v>Top product categories</x:v>
      </x:c>
    </x:row>
    <x:row r="34" ht="28" customHeight="1">
      <x:c r="A34" s="13" t="str">
        <x:v>Category</x:v>
      </x:c>
      <x:c r="B34" s="14" t="str">
        <x:v>Realized GMV</x:v>
      </x:c>
      <x:c r="C34" s="15" t="str">
        <x:v>Orders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1" customHeight="1">
      <x:c r="A35" s="17" t="str">
        <x:v>health beauty</x:v>
      </x:c>
      <x:c r="B35" s="199" t="n">
        <x:v>1233131.72</x:v>
      </x:c>
      <x:c r="C35" s="17" t="n">
        <x:v>8836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1" customHeight="1">
      <x:c r="A36" s="17" t="str">
        <x:v>watches gifts</x:v>
      </x:c>
      <x:c r="B36" s="199" t="n">
        <x:v>1166176.98</x:v>
      </x:c>
      <x:c r="C36" s="17" t="n">
        <x:v>5624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1" customHeight="1">
      <x:c r="A37" s="17" t="str">
        <x:v>bed bath table</x:v>
      </x:c>
      <x:c r="B37" s="199" t="n">
        <x:v>1023434.76</x:v>
      </x:c>
      <x:c r="C37" s="17" t="n">
        <x:v>9417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1" customHeight="1">
      <x:c r="A38" s="17" t="str">
        <x:v>sports leisure</x:v>
      </x:c>
      <x:c r="B38" s="199" t="n">
        <x:v>954852.55</x:v>
      </x:c>
      <x:c r="C38" s="17" t="n">
        <x:v>7720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1" customHeight="1">
      <x:c r="A39" s="17" t="str">
        <x:v>computers accessories</x:v>
      </x:c>
      <x:c r="B39" s="199" t="n">
        <x:v>888724.61</x:v>
      </x:c>
      <x:c r="C39" s="17" t="n">
        <x:v>6689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1" customHeight="1">
      <x:c r="A40" s="17" t="str">
        <x:v>furniture decor</x:v>
      </x:c>
      <x:c r="B40" s="199" t="n">
        <x:v>711927.6900000001</x:v>
      </x:c>
      <x:c r="C40" s="17" t="n">
        <x:v>6449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1" customHeight="1">
      <x:c r="A41" s="17" t="str">
        <x:v>housewares</x:v>
      </x:c>
      <x:c r="B41" s="199" t="n">
        <x:v>615628.69</x:v>
      </x:c>
      <x:c r="C41" s="17" t="n">
        <x:v>5884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1" customHeight="1">
      <x:c r="A42" s="17" t="str">
        <x:v>cool stuff</x:v>
      </x:c>
      <x:c r="B42" s="199" t="n">
        <x:v>610204.1</x:v>
      </x:c>
      <x:c r="C42" s="17" t="n">
        <x:v>3632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1" customHeight="1">
      <x:c r="A43" s="17" t="str">
        <x:v>auto</x:v>
      </x:c>
      <x:c r="B43" s="199" t="n">
        <x:v>578966.65</x:v>
      </x:c>
      <x:c r="C43" s="17" t="n">
        <x:v>3897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1" customHeight="1">
      <x:c r="A44" s="18" t="str">
        <x:v>toys</x:v>
      </x:c>
      <x:c r="B44" s="200" t="n">
        <x:v>471286.48</x:v>
      </x:c>
      <x:c r="C44" s="18" t="n">
        <x:v>3886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</x:sheetData>
  <x:mergeCells>
    <x:mergeCell ref="A2:N2"/>
    <x:mergeCell ref="A3:N3"/>
    <x:mergeCell ref="A6:C6"/>
    <x:mergeCell ref="A7:C8"/>
    <x:mergeCell ref="D6:F6"/>
    <x:mergeCell ref="D7:F8"/>
    <x:mergeCell ref="G6:I6"/>
    <x:mergeCell ref="G7:I8"/>
    <x:mergeCell ref="J6:L6"/>
    <x:mergeCell ref="J7:L8"/>
    <x:mergeCell ref="M6:N6"/>
    <x:mergeCell ref="M7:N8"/>
    <x:mergeCell ref="A10:N10"/>
    <x:mergeCell ref="A33:N33"/>
  </x:mergeCells>
  <x:pageMargins left="0.7" right="0.7" top="0.75" bottom="0.75" header="0.3" footer="0.3"/>
  <x:drawing xmlns:r="http://schemas.openxmlformats.org/officeDocument/2006/relationships" r:id="R0e9f8a4e3264419b"/>
</x:worksheet>
</file>

<file path=xl/worksheets/sheet2.xml><?xml version="1.0" encoding="utf-8"?>
<x:worksheet xmlns:x="http://schemas.openxmlformats.org/spreadsheetml/2006/main">
  <x:sheetPr>
    <x:tabColor rgb="FF7C3AED"/>
  </x:sheetPr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8" customHeight="1">
      <x:c r="A2" s="31" t="str">
        <x:v>Customer Intelligence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32" t="str">
        <x:v>RFM value, repeat purchase, and acquisition-cohort retention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41" t="str">
        <x:v>Delivered Customers</x:v>
      </x:c>
      <x:c r="B6" s="42" t="str">
        <x:v>Delivered Customers</x:v>
      </x:c>
      <x:c r="C6" s="43" t="str">
        <x:v>Delivered Customers</x:v>
      </x:c>
      <x:c r="D6" s="146" t="str">
        <x:v>Repeat Customer Rate</x:v>
      </x:c>
      <x:c r="E6" s="147" t="str">
        <x:v>Repeat Customer Rate</x:v>
      </x:c>
      <x:c r="F6" s="148" t="str">
        <x:v>Repeat Customer Rate</x:v>
      </x:c>
      <x:c r="G6" s="111" t="str">
        <x:v>Champion GMV Share</x:v>
      </x:c>
      <x:c r="H6" s="112" t="str">
        <x:v>Champion GMV Share</x:v>
      </x:c>
      <x:c r="I6" s="113" t="str">
        <x:v>Champion GMV Share</x:v>
      </x:c>
      <x:c r="J6" s="76" t="str">
        <x:v>Customer Segments</x:v>
      </x:c>
      <x:c r="K6" s="77" t="str">
        <x:v>Customer Segments</x:v>
      </x:c>
      <x:c r="L6" s="78" t="str">
        <x:v>Customer Segments</x:v>
      </x:c>
      <x:c r="M6" s="1"/>
      <x:c r="N6" s="1"/>
    </x:row>
    <x:row r="7">
      <x:c r="A7" s="213" t="n">
        <x:f>'Data_Summary'!B6</x:f>
        <x:v>93358</x:v>
      </x:c>
      <x:c r="B7" s="214"/>
      <x:c r="C7" s="215"/>
      <x:c r="D7" s="167" t="n">
        <x:f>'Data_Summary'!B7</x:f>
        <x:v>0.03000278497825575</x:v>
      </x:c>
      <x:c r="E7" s="168"/>
      <x:c r="F7" s="169"/>
      <x:c r="G7" s="231" t="n">
        <x:f>E14</x:f>
        <x:v>0.023077739561844557</x:v>
      </x:c>
      <x:c r="H7" s="232"/>
      <x:c r="I7" s="233"/>
      <x:c r="J7" s="97" t="n">
        <x:f>COUNTA(A12:A16)</x:f>
        <x:v>5</x:v>
      </x:c>
      <x:c r="K7" s="98"/>
      <x:c r="L7" s="99"/>
      <x:c r="M7" s="1"/>
      <x:c r="N7" s="1"/>
    </x:row>
    <x:row r="8">
      <x:c r="A8" s="216"/>
      <x:c r="B8" s="217"/>
      <x:c r="C8" s="218"/>
      <x:c r="D8" s="170"/>
      <x:c r="E8" s="171"/>
      <x:c r="F8" s="172"/>
      <x:c r="G8" s="234"/>
      <x:c r="H8" s="235"/>
      <x:c r="I8" s="236"/>
      <x:c r="J8" s="100"/>
      <x:c r="K8" s="101"/>
      <x:c r="L8" s="102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4" customHeight="1">
      <x:c r="A10" s="198" t="str">
        <x:v>RFM customer portfolio</x:v>
      </x:c>
      <x:c r="B10" s="198" t="str">
        <x:v>RFM customer portfolio</x:v>
      </x:c>
      <x:c r="C10" s="198" t="str">
        <x:v>RFM customer portfolio</x:v>
      </x:c>
      <x:c r="D10" s="198" t="str">
        <x:v>RFM customer portfolio</x:v>
      </x:c>
      <x:c r="E10" s="198" t="str">
        <x:v>RFM customer portfolio</x:v>
      </x:c>
      <x:c r="F10" s="198" t="str">
        <x:v>RFM customer portfolio</x:v>
      </x:c>
      <x:c r="G10" s="198" t="str">
        <x:v>RFM customer portfolio</x:v>
      </x:c>
      <x:c r="H10" s="198" t="str">
        <x:v>RFM customer portfolio</x:v>
      </x:c>
      <x:c r="I10" s="198" t="str">
        <x:v>RFM customer portfolio</x:v>
      </x:c>
      <x:c r="J10" s="198" t="str">
        <x:v>RFM customer portfolio</x:v>
      </x:c>
      <x:c r="K10" s="198" t="str">
        <x:v>RFM customer portfolio</x:v>
      </x:c>
      <x:c r="L10" s="198" t="str">
        <x:v>RFM customer portfolio</x:v>
      </x:c>
      <x:c r="M10" s="198" t="str">
        <x:v>RFM customer portfolio</x:v>
      </x:c>
      <x:c r="N10" s="198" t="str">
        <x:v>RFM customer portfolio</x:v>
      </x:c>
    </x:row>
    <x:row r="11" ht="28" customHeight="1">
      <x:c r="A11" s="13" t="str">
        <x:v>Segment</x:v>
      </x:c>
      <x:c r="B11" s="14" t="str">
        <x:v>Customers</x:v>
      </x:c>
      <x:c r="C11" s="14" t="str">
        <x:v>Orders</x:v>
      </x:c>
      <x:c r="D11" s="14" t="str">
        <x:v>Realized GMV</x:v>
      </x:c>
      <x:c r="E11" s="15" t="str">
        <x:v>GMV Share</x:v>
      </x:c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1" customHeight="1">
      <x:c r="A12" s="17" t="str">
        <x:v>Needs Attention</x:v>
      </x:c>
      <x:c r="B12" s="17" t="n">
        <x:v>54439</x:v>
      </x:c>
      <x:c r="C12" s="17" t="n">
        <x:v>54439</x:v>
      </x:c>
      <x:c r="D12" s="199" t="n">
        <x:v>7426103.28</x:v>
      </x:c>
      <x:c r="E12" s="27" t="n">
        <x:v>0.5616688228683642</x:v>
      </x:c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1" customHeight="1">
      <x:c r="A13" s="17" t="str">
        <x:v>New &amp; Promising</x:v>
      </x:c>
      <x:c r="B13" s="17" t="n">
        <x:v>36118</x:v>
      </x:c>
      <x:c r="C13" s="17" t="n">
        <x:v>36118</x:v>
      </x:c>
      <x:c r="D13" s="199" t="n">
        <x:v>5066986.08</x:v>
      </x:c>
      <x:c r="E13" s="27" t="n">
        <x:v>0.3832384225935499</x:v>
      </x:c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1" customHeight="1">
      <x:c r="A14" s="17" t="str">
        <x:v>Champions</x:v>
      </x:c>
      <x:c r="B14" s="17" t="n">
        <x:v>931</x:v>
      </x:c>
      <x:c r="C14" s="17" t="n">
        <x:v>2038</x:v>
      </x:c>
      <x:c r="D14" s="199" t="n">
        <x:v>305122.29</x:v>
      </x:c>
      <x:c r="E14" s="27" t="n">
        <x:v>0.023077739561844557</x:v>
      </x:c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1" customHeight="1">
      <x:c r="A15" s="17" t="str">
        <x:v>At Risk</x:v>
      </x:c>
      <x:c r="B15" s="17" t="n">
        <x:v>997</x:v>
      </x:c>
      <x:c r="C15" s="17" t="n">
        <x:v>2075</x:v>
      </x:c>
      <x:c r="D15" s="199" t="n">
        <x:v>248766.51</x:v>
      </x:c>
      <x:c r="E15" s="27" t="n">
        <x:v>0.018815304281732417</x:v>
      </x:c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1" customHeight="1">
      <x:c r="A16" s="18" t="str">
        <x:v>Loyal Customers</x:v>
      </x:c>
      <x:c r="B16" s="18" t="n">
        <x:v>873</x:v>
      </x:c>
      <x:c r="C16" s="18" t="n">
        <x:v>1808</x:v>
      </x:c>
      <x:c r="D16" s="200" t="n">
        <x:v>174519.95</x:v>
      </x:c>
      <x:c r="E16" s="28" t="n">
        <x:v>0.01319971069450919</x:v>
      </x:c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4" customHeight="1">
      <x:c r="A27" s="198" t="str">
        <x:v>Cohort retention · latest 12 acquisition months</x:v>
      </x:c>
      <x:c r="B27" s="198" t="str">
        <x:v>Cohort retention · latest 12 acquisition months</x:v>
      </x:c>
      <x:c r="C27" s="198" t="str">
        <x:v>Cohort retention · latest 12 acquisition months</x:v>
      </x:c>
      <x:c r="D27" s="198" t="str">
        <x:v>Cohort retention · latest 12 acquisition months</x:v>
      </x:c>
      <x:c r="E27" s="198" t="str">
        <x:v>Cohort retention · latest 12 acquisition months</x:v>
      </x:c>
      <x:c r="F27" s="198" t="str">
        <x:v>Cohort retention · latest 12 acquisition months</x:v>
      </x:c>
      <x:c r="G27" s="198" t="str">
        <x:v>Cohort retention · latest 12 acquisition months</x:v>
      </x:c>
      <x:c r="H27" s="198" t="str">
        <x:v>Cohort retention · latest 12 acquisition months</x:v>
      </x:c>
      <x:c r="I27" s="198" t="str">
        <x:v>Cohort retention · latest 12 acquisition months</x:v>
      </x:c>
      <x:c r="J27" s="198" t="str">
        <x:v>Cohort retention · latest 12 acquisition months</x:v>
      </x:c>
      <x:c r="K27" s="198" t="str">
        <x:v>Cohort retention · latest 12 acquisition months</x:v>
      </x:c>
      <x:c r="L27" s="198" t="str">
        <x:v>Cohort retention · latest 12 acquisition months</x:v>
      </x:c>
      <x:c r="M27" s="198" t="str">
        <x:v>Cohort retention · latest 12 acquisition months</x:v>
      </x:c>
      <x:c r="N27" s="198" t="str">
        <x:v>Cohort retention · latest 12 acquisition months</x:v>
      </x:c>
    </x:row>
    <x:row r="28" ht="28" customHeight="1">
      <x:c r="A28" s="13" t="str">
        <x:v>Cohort Month</x:v>
      </x:c>
      <x:c r="B28" s="14" t="str">
        <x:v>M0</x:v>
      </x:c>
      <x:c r="C28" s="14" t="str">
        <x:v>M1</x:v>
      </x:c>
      <x:c r="D28" s="14" t="str">
        <x:v>M2</x:v>
      </x:c>
      <x:c r="E28" s="14" t="str">
        <x:v>M3</x:v>
      </x:c>
      <x:c r="F28" s="14" t="str">
        <x:v>M4</x:v>
      </x:c>
      <x:c r="G28" s="15" t="str">
        <x:v>M5</x:v>
      </x:c>
      <x:c r="H28" s="1"/>
      <x:c r="I28" s="1"/>
      <x:c r="J28" s="1"/>
      <x:c r="K28" s="1"/>
      <x:c r="L28" s="1"/>
      <x:c r="M28" s="1"/>
      <x:c r="N28" s="1"/>
    </x:row>
    <x:row r="29" ht="21" customHeight="1">
      <x:c r="A29" s="17" t="str">
        <x:v>2017-09</x:v>
      </x:c>
      <x:c r="B29" s="27" t="n">
        <x:v>1</x:v>
      </x:c>
      <x:c r="C29" s="27" t="n">
        <x:v>0.006993006993006993</x:v>
      </x:c>
      <x:c r="D29" s="27" t="n">
        <x:v>0.005494505494505495</x:v>
      </x:c>
      <x:c r="E29" s="27" t="n">
        <x:v>0.0027472527472527475</x:v>
      </x:c>
      <x:c r="F29" s="27" t="n">
        <x:v>0.004495504495504496</x:v>
      </x:c>
      <x:c r="G29" s="27" t="n">
        <x:v>0.002247752247752248</x:v>
      </x:c>
      <x:c r="H29" s="1"/>
      <x:c r="I29" s="1"/>
      <x:c r="J29" s="1"/>
      <x:c r="K29" s="1"/>
      <x:c r="L29" s="1"/>
      <x:c r="M29" s="1"/>
      <x:c r="N29" s="1"/>
    </x:row>
    <x:row r="30" ht="21" customHeight="1">
      <x:c r="A30" s="17" t="str">
        <x:v>2017-10</x:v>
      </x:c>
      <x:c r="B30" s="27" t="n">
        <x:v>1</x:v>
      </x:c>
      <x:c r="C30" s="27" t="n">
        <x:v>0.007162661737523105</x:v>
      </x:c>
      <x:c r="D30" s="27" t="n">
        <x:v>0.0025415896487985213</x:v>
      </x:c>
      <x:c r="E30" s="27" t="n">
        <x:v>0.0009242144177449168</x:v>
      </x:c>
      <x:c r="F30" s="27" t="n">
        <x:v>0.0023105360443622922</x:v>
      </x:c>
      <x:c r="G30" s="27" t="n">
        <x:v>0.0020794824399260627</x:v>
      </x:c>
      <x:c r="H30" s="1"/>
      <x:c r="I30" s="1"/>
      <x:c r="J30" s="1"/>
      <x:c r="K30" s="1"/>
      <x:c r="L30" s="1"/>
      <x:c r="M30" s="1"/>
      <x:c r="N30" s="1"/>
    </x:row>
    <x:row r="31" ht="21" customHeight="1">
      <x:c r="A31" s="17" t="str">
        <x:v>2017-11</x:v>
      </x:c>
      <x:c r="B31" s="27" t="n">
        <x:v>1</x:v>
      </x:c>
      <x:c r="C31" s="27" t="n">
        <x:v>0.0056657223796034</x:v>
      </x:c>
      <x:c r="D31" s="27" t="n">
        <x:v>0.0036827195467422098</x:v>
      </x:c>
      <x:c r="E31" s="27" t="n">
        <x:v>0.0016997167138810198</x:v>
      </x:c>
      <x:c r="F31" s="27" t="n">
        <x:v>0.0016997167138810198</x:v>
      </x:c>
      <x:c r="G31" s="27" t="n">
        <x:v>0.0018413597733711049</x:v>
      </x:c>
      <x:c r="H31" s="1"/>
      <x:c r="I31" s="1"/>
      <x:c r="J31" s="1"/>
      <x:c r="K31" s="1"/>
      <x:c r="L31" s="1"/>
      <x:c r="M31" s="1"/>
      <x:c r="N31" s="1"/>
    </x:row>
    <x:row r="32" ht="21" customHeight="1">
      <x:c r="A32" s="17" t="str">
        <x:v>2017-12</x:v>
      </x:c>
      <x:c r="B32" s="27" t="n">
        <x:v>1</x:v>
      </x:c>
      <x:c r="C32" s="27" t="n">
        <x:v>0.0020606968902210565</x:v>
      </x:c>
      <x:c r="D32" s="27" t="n">
        <x:v>0.002810041213937804</x:v>
      </x:c>
      <x:c r="E32" s="27" t="n">
        <x:v>0.0033720494567253652</x:v>
      </x:c>
      <x:c r="F32" s="27" t="n">
        <x:v>0.0026227051330086175</x:v>
      </x:c>
      <x:c r="G32" s="27" t="n">
        <x:v>0.0020606968902210565</x:v>
      </x:c>
      <x:c r="H32" s="1"/>
      <x:c r="I32" s="1"/>
      <x:c r="J32" s="1"/>
      <x:c r="K32" s="1"/>
      <x:c r="L32" s="1"/>
      <x:c r="M32" s="1"/>
      <x:c r="N32" s="1"/>
    </x:row>
    <x:row r="33" ht="21" customHeight="1">
      <x:c r="A33" s="17" t="str">
        <x:v>2018-01</x:v>
      </x:c>
      <x:c r="B33" s="27" t="n">
        <x:v>1</x:v>
      </x:c>
      <x:c r="C33" s="27" t="n">
        <x:v>0.0033615901783104357</x:v>
      </x:c>
      <x:c r="D33" s="27" t="n">
        <x:v>0.0036539023677287343</x:v>
      </x:c>
      <x:c r="E33" s="27" t="n">
        <x:v>0.0029231218941829875</x:v>
      </x:c>
      <x:c r="F33" s="27" t="n">
        <x:v>0.0029231218941829875</x:v>
      </x:c>
      <x:c r="G33" s="27" t="n">
        <x:v>0.001607717041800643</x:v>
      </x:c>
      <x:c r="H33" s="1"/>
      <x:c r="I33" s="1"/>
      <x:c r="J33" s="1"/>
      <x:c r="K33" s="1"/>
      <x:c r="L33" s="1"/>
      <x:c r="M33" s="1"/>
      <x:c r="N33" s="1"/>
    </x:row>
    <x:row r="34" ht="21" customHeight="1">
      <x:c r="A34" s="17" t="str">
        <x:v>2018-02</x:v>
      </x:c>
      <x:c r="B34" s="27" t="n">
        <x:v>1</x:v>
      </x:c>
      <x:c r="C34" s="27" t="n">
        <x:v>0.003498727735368957</x:v>
      </x:c>
      <x:c r="D34" s="27" t="n">
        <x:v>0.003975826972010178</x:v>
      </x:c>
      <x:c r="E34" s="27" t="n">
        <x:v>0.0030216284987277355</x:v>
      </x:c>
      <x:c r="F34" s="27" t="n">
        <x:v>0.002544529262086514</x:v>
      </x:c>
      <x:c r="G34" s="27" t="n">
        <x:v>0.0022264631043256997</x:v>
      </x:c>
      <x:c r="H34" s="1"/>
      <x:c r="I34" s="1"/>
      <x:c r="J34" s="1"/>
      <x:c r="K34" s="1"/>
      <x:c r="L34" s="1"/>
      <x:c r="M34" s="1"/>
      <x:c r="N34" s="1"/>
    </x:row>
    <x:row r="35" ht="21" customHeight="1">
      <x:c r="A35" s="17" t="str">
        <x:v>2018-03</x:v>
      </x:c>
      <x:c r="B35" s="27" t="n">
        <x:v>1</x:v>
      </x:c>
      <x:c r="C35" s="27" t="n">
        <x:v>0.003985828166519044</x:v>
      </x:c>
      <x:c r="D35" s="27" t="n">
        <x:v>0.002952465308532625</x:v>
      </x:c>
      <x:c r="E35" s="27" t="n">
        <x:v>0.002952465308532625</x:v>
      </x:c>
      <x:c r="F35" s="27" t="n">
        <x:v>0.00118098612341305</x:v>
      </x:c>
      <x:c r="G35" s="27" t="n">
        <x:v>0.00118098612341305</x:v>
      </x:c>
      <x:c r="H35" s="1"/>
      <x:c r="I35" s="1"/>
      <x:c r="J35" s="1"/>
      <x:c r="K35" s="1"/>
      <x:c r="L35" s="1"/>
      <x:c r="M35" s="1"/>
      <x:c r="N35" s="1"/>
    </x:row>
    <x:row r="36" ht="21" customHeight="1">
      <x:c r="A36" s="17" t="str">
        <x:v>2018-04</x:v>
      </x:c>
      <x:c r="B36" s="27" t="n">
        <x:v>1</x:v>
      </x:c>
      <x:c r="C36" s="27" t="n">
        <x:v>0.005925250683682771</x:v>
      </x:c>
      <x:c r="D36" s="27" t="n">
        <x:v>0.003038590094196293</x:v>
      </x:c>
      <x:c r="E36" s="27" t="n">
        <x:v>0.002430872075357034</x:v>
      </x:c>
      <x:c r="F36" s="27" t="n">
        <x:v>0.0013673655423883319</x:v>
      </x:c>
      <x:c r="G36" s="27"/>
      <x:c r="H36" s="1"/>
      <x:c r="I36" s="1"/>
      <x:c r="J36" s="1"/>
      <x:c r="K36" s="1"/>
      <x:c r="L36" s="1"/>
      <x:c r="M36" s="1"/>
      <x:c r="N36" s="1"/>
    </x:row>
    <x:row r="37" ht="21" customHeight="1">
      <x:c r="A37" s="17" t="str">
        <x:v>2018-05</x:v>
      </x:c>
      <x:c r="B37" s="27" t="n">
        <x:v>1</x:v>
      </x:c>
      <x:c r="C37" s="27" t="n">
        <x:v>0.00522594528127882</x:v>
      </x:c>
      <x:c r="D37" s="27" t="n">
        <x:v>0.00261297264063941</x:v>
      </x:c>
      <x:c r="E37" s="27" t="n">
        <x:v>0.0018444512757454657</x:v>
      </x:c>
      <x:c r="F37" s="27"/>
      <x:c r="G37" s="27"/>
      <x:c r="H37" s="1"/>
      <x:c r="I37" s="1"/>
      <x:c r="J37" s="1"/>
      <x:c r="K37" s="1"/>
      <x:c r="L37" s="1"/>
      <x:c r="M37" s="1"/>
      <x:c r="N37" s="1"/>
    </x:row>
    <x:row r="38" ht="21" customHeight="1">
      <x:c r="A38" s="17" t="str">
        <x:v>2018-06</x:v>
      </x:c>
      <x:c r="B38" s="27" t="n">
        <x:v>1</x:v>
      </x:c>
      <x:c r="C38" s="27" t="n">
        <x:v>0.004253147329023477</x:v>
      </x:c>
      <x:c r="D38" s="27" t="n">
        <x:v>0.0027220142905750254</x:v>
      </x:c>
      <x:c r="E38" s="27"/>
      <x:c r="F38" s="27"/>
      <x:c r="G38" s="27"/>
      <x:c r="H38" s="1"/>
      <x:c r="I38" s="1"/>
      <x:c r="J38" s="1"/>
      <x:c r="K38" s="1"/>
      <x:c r="L38" s="1"/>
      <x:c r="M38" s="1"/>
      <x:c r="N38" s="1"/>
    </x:row>
    <x:row r="39" ht="21" customHeight="1">
      <x:c r="A39" s="17" t="str">
        <x:v>2018-07</x:v>
      </x:c>
      <x:c r="B39" s="27" t="n">
        <x:v>1</x:v>
      </x:c>
      <x:c r="C39" s="27" t="n">
        <x:v>0.005210959825180703</x:v>
      </x:c>
      <x:c r="D39" s="27"/>
      <x:c r="E39" s="27"/>
      <x:c r="F39" s="27"/>
      <x:c r="G39" s="27"/>
      <x:c r="H39" s="1"/>
      <x:c r="I39" s="1"/>
      <x:c r="J39" s="1"/>
      <x:c r="K39" s="1"/>
      <x:c r="L39" s="1"/>
      <x:c r="M39" s="1"/>
      <x:c r="N39" s="1"/>
    </x:row>
    <x:row r="40" ht="21" customHeight="1">
      <x:c r="A40" s="18" t="str">
        <x:v>2018-08</x:v>
      </x:c>
      <x:c r="B40" s="28" t="n">
        <x:v>1</x:v>
      </x:c>
      <x:c r="C40" s="28"/>
      <x:c r="D40" s="28"/>
      <x:c r="E40" s="28"/>
      <x:c r="F40" s="28"/>
      <x:c r="G40" s="28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</x:sheetData>
  <x:mergeCells>
    <x:mergeCell ref="A2:N2"/>
    <x:mergeCell ref="A3:N3"/>
    <x:mergeCell ref="A6:C6"/>
    <x:mergeCell ref="A7:C8"/>
    <x:mergeCell ref="D6:F6"/>
    <x:mergeCell ref="D7:F8"/>
    <x:mergeCell ref="G6:I6"/>
    <x:mergeCell ref="G7:I8"/>
    <x:mergeCell ref="J6:L6"/>
    <x:mergeCell ref="J7:L8"/>
    <x:mergeCell ref="A10:N10"/>
    <x:mergeCell ref="A27:N27"/>
  </x:mergeCells>
  <x:conditionalFormatting sqref="A12:E16">
    <x:cfRule type="colorScale" priority="1">
      <x:colorScale>
        <x:cfvo type="min"/>
        <x:cfvo type="percentile" val="50"/>
        <x:cfvo type="max"/>
        <x:color rgb="FFFFFFFF"/>
        <x:color rgb="FFEAF0FF"/>
        <x:color rgb="FFB7C9FF"/>
      </x:colorScale>
    </x:cfRule>
  </x:conditionalFormatting>
  <x:conditionalFormatting sqref="B29:G40">
    <x:cfRule type="colorScale" priority="2">
      <x:colorScale>
        <x:cfvo type="min"/>
        <x:cfvo type="percentile" val="50"/>
        <x:cfvo type="max"/>
        <x:color rgb="FFFFFFFF"/>
        <x:color rgb="FFAFC3FF"/>
        <x:color rgb="FF2457D6"/>
      </x:colorScale>
    </x:cfRule>
  </x:conditionalFormatting>
  <x:pageMargins left="0.7" right="0.7" top="0.75" bottom="0.75" header="0.3" footer="0.3"/>
  <x:drawing xmlns:r="http://schemas.openxmlformats.org/officeDocument/2006/relationships" r:id="R5b885194a519479c"/>
</x:worksheet>
</file>

<file path=xl/worksheets/sheet3.xml><?xml version="1.0" encoding="utf-8"?>
<x:worksheet xmlns:x="http://schemas.openxmlformats.org/spreadsheetml/2006/main">
  <x:sheetPr>
    <x:tabColor rgb="FF0F9D74"/>
  </x:sheetPr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3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8" customHeight="1">
      <x:c r="A2" s="31" t="str">
        <x:v>Market Performance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32" t="str">
        <x:v>Category, geographic, payment, and seller concentration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4" customHeight="1">
      <x:c r="A6" s="198" t="str">
        <x:v>State performance</x:v>
      </x:c>
      <x:c r="B6" s="198" t="str">
        <x:v>State performance</x:v>
      </x:c>
      <x:c r="C6" s="198" t="str">
        <x:v>State performance</x:v>
      </x:c>
      <x:c r="D6" s="198" t="str">
        <x:v>State performance</x:v>
      </x:c>
      <x:c r="E6" s="198" t="str">
        <x:v>State performance</x:v>
      </x:c>
      <x:c r="F6" s="198" t="str">
        <x:v>State performance</x:v>
      </x:c>
      <x:c r="G6" s="198" t="str">
        <x:v>State performance</x:v>
      </x:c>
      <x:c r="H6" s="198" t="str">
        <x:v>State performance</x:v>
      </x:c>
      <x:c r="I6" s="198" t="str">
        <x:v>State performance</x:v>
      </x:c>
      <x:c r="J6" s="198" t="str">
        <x:v>State performance</x:v>
      </x:c>
      <x:c r="K6" s="198" t="str">
        <x:v>State performance</x:v>
      </x:c>
      <x:c r="L6" s="198" t="str">
        <x:v>State performance</x:v>
      </x:c>
      <x:c r="M6" s="198" t="str">
        <x:v>State performance</x:v>
      </x:c>
      <x:c r="N6" s="198" t="str">
        <x:v>State performance</x:v>
      </x:c>
    </x:row>
    <x:row r="7" ht="28" customHeight="1">
      <x:c r="A7" s="13" t="str">
        <x:v>State</x:v>
      </x:c>
      <x:c r="B7" s="14" t="str">
        <x:v>Orders</x:v>
      </x:c>
      <x:c r="C7" s="14" t="str">
        <x:v>Customers</x:v>
      </x:c>
      <x:c r="D7" s="14" t="str">
        <x:v>Realized GMV</x:v>
      </x:c>
      <x:c r="E7" s="14" t="str">
        <x:v>AOV</x:v>
      </x:c>
      <x:c r="F7" s="15" t="str">
        <x:v>On-Time Rate</x:v>
      </x:c>
      <x:c r="G7" s="1"/>
      <x:c r="H7" s="1"/>
      <x:c r="I7" s="1"/>
      <x:c r="J7" s="1"/>
      <x:c r="K7" s="1"/>
      <x:c r="L7" s="1"/>
      <x:c r="M7" s="1"/>
      <x:c r="N7" s="1"/>
    </x:row>
    <x:row r="8" ht="21" customHeight="1">
      <x:c r="A8" s="17" t="str">
        <x:v>SP</x:v>
      </x:c>
      <x:c r="B8" s="17" t="n">
        <x:v>41746</x:v>
      </x:c>
      <x:c r="C8" s="17" t="n">
        <x:v>40302</x:v>
      </x:c>
      <x:c r="D8" s="199" t="n">
        <x:v>5067633.16</x:v>
      </x:c>
      <x:c r="E8" s="199" t="n">
        <x:v>125.12365521838967</x:v>
      </x:c>
      <x:c r="F8" s="27" t="n">
        <x:v>0.9410544511668107</x:v>
      </x:c>
      <x:c r="G8" s="1"/>
      <x:c r="H8" s="1"/>
      <x:c r="I8" s="1"/>
      <x:c r="J8" s="1"/>
      <x:c r="K8" s="1"/>
      <x:c r="L8" s="1"/>
      <x:c r="M8" s="1"/>
      <x:c r="N8" s="1"/>
    </x:row>
    <x:row r="9" ht="21" customHeight="1">
      <x:c r="A9" s="17" t="str">
        <x:v>RJ</x:v>
      </x:c>
      <x:c r="B9" s="17" t="n">
        <x:v>12852</x:v>
      </x:c>
      <x:c r="C9" s="17" t="n">
        <x:v>12384</x:v>
      </x:c>
      <x:c r="D9" s="199" t="n">
        <x:v>1759651.1300000001</x:v>
      </x:c>
      <x:c r="E9" s="199" t="n">
        <x:v>142.48187287449394</x:v>
      </x:c>
      <x:c r="F9" s="27" t="n">
        <x:v>0.8652958795434308</x:v>
      </x:c>
      <x:c r="G9" s="1"/>
      <x:c r="H9" s="1"/>
      <x:c r="I9" s="1"/>
      <x:c r="J9" s="1"/>
      <x:c r="K9" s="1"/>
      <x:c r="L9" s="1"/>
      <x:c r="M9" s="1"/>
      <x:c r="N9" s="1"/>
    </x:row>
    <x:row r="10" ht="21" customHeight="1">
      <x:c r="A10" s="17" t="str">
        <x:v>MG</x:v>
      </x:c>
      <x:c r="B10" s="17" t="n">
        <x:v>11635</x:v>
      </x:c>
      <x:c r="C10" s="17" t="n">
        <x:v>11259</x:v>
      </x:c>
      <x:c r="D10" s="199" t="n">
        <x:v>1552481.83</x:v>
      </x:c>
      <x:c r="E10" s="199" t="n">
        <x:v>136.73435177030123</x:v>
      </x:c>
      <x:c r="F10" s="27" t="n">
        <x:v>0.943813298106561</x:v>
      </x:c>
      <x:c r="G10" s="1"/>
      <x:c r="H10" s="1"/>
      <x:c r="I10" s="1"/>
      <x:c r="J10" s="1"/>
      <x:c r="K10" s="1"/>
      <x:c r="L10" s="1"/>
      <x:c r="M10" s="1"/>
      <x:c r="N10" s="1"/>
    </x:row>
    <x:row r="11" ht="21" customHeight="1">
      <x:c r="A11" s="17" t="str">
        <x:v>RS</x:v>
      </x:c>
      <x:c r="B11" s="17" t="n">
        <x:v>5466</x:v>
      </x:c>
      <x:c r="C11" s="17" t="n">
        <x:v>5277</x:v>
      </x:c>
      <x:c r="D11" s="199" t="n">
        <x:v>728897.47</x:v>
      </x:c>
      <x:c r="E11" s="199" t="n">
        <x:v>136.36996632366697</x:v>
      </x:c>
      <x:c r="F11" s="27" t="n">
        <x:v>0.9285179640718563</x:v>
      </x:c>
      <x:c r="G11" s="1"/>
      <x:c r="H11" s="1"/>
      <x:c r="I11" s="1"/>
      <x:c r="J11" s="1"/>
      <x:c r="K11" s="1"/>
      <x:c r="L11" s="1"/>
      <x:c r="M11" s="1"/>
      <x:c r="N11" s="1"/>
    </x:row>
    <x:row r="12" ht="21" customHeight="1">
      <x:c r="A12" s="17" t="str">
        <x:v>PR</x:v>
      </x:c>
      <x:c r="B12" s="17" t="n">
        <x:v>5045</x:v>
      </x:c>
      <x:c r="C12" s="17" t="n">
        <x:v>4882</x:v>
      </x:c>
      <x:c r="D12" s="199" t="n">
        <x:v>666063.51</x:v>
      </x:c>
      <x:c r="E12" s="199" t="n">
        <x:v>135.2962644728824</x:v>
      </x:c>
      <x:c r="F12" s="27" t="n">
        <x:v>0.9500304692260817</x:v>
      </x:c>
      <x:c r="G12" s="1"/>
      <x:c r="H12" s="1"/>
      <x:c r="I12" s="1"/>
      <x:c r="J12" s="1"/>
      <x:c r="K12" s="1"/>
      <x:c r="L12" s="1"/>
      <x:c r="M12" s="1"/>
      <x:c r="N12" s="1"/>
    </x:row>
    <x:row r="13" ht="21" customHeight="1">
      <x:c r="A13" s="17" t="str">
        <x:v>SC</x:v>
      </x:c>
      <x:c r="B13" s="17" t="n">
        <x:v>3637</x:v>
      </x:c>
      <x:c r="C13" s="17" t="n">
        <x:v>3534</x:v>
      </x:c>
      <x:c r="D13" s="199" t="n">
        <x:v>507012.13</x:v>
      </x:c>
      <x:c r="E13" s="199" t="n">
        <x:v>142.9814241398759</x:v>
      </x:c>
      <x:c r="F13" s="27" t="n">
        <x:v>0.9024527769946433</x:v>
      </x:c>
      <x:c r="G13" s="1"/>
      <x:c r="H13" s="1"/>
      <x:c r="I13" s="1"/>
      <x:c r="J13" s="1"/>
      <x:c r="K13" s="1"/>
      <x:c r="L13" s="1"/>
      <x:c r="M13" s="1"/>
      <x:c r="N13" s="1"/>
    </x:row>
    <x:row r="14" ht="21" customHeight="1">
      <x:c r="A14" s="17" t="str">
        <x:v>BA</x:v>
      </x:c>
      <x:c r="B14" s="17" t="n">
        <x:v>3380</x:v>
      </x:c>
      <x:c r="C14" s="17" t="n">
        <x:v>3277</x:v>
      </x:c>
      <x:c r="D14" s="199" t="n">
        <x:v>493584.14</x:v>
      </x:c>
      <x:c r="E14" s="199" t="n">
        <x:v>151.5921805896806</x:v>
      </x:c>
      <x:c r="F14" s="27" t="n">
        <x:v>0.8596437346437347</x:v>
      </x:c>
      <x:c r="G14" s="1"/>
      <x:c r="H14" s="1"/>
      <x:c r="I14" s="1"/>
      <x:c r="J14" s="1"/>
      <x:c r="K14" s="1"/>
      <x:c r="L14" s="1"/>
      <x:c r="M14" s="1"/>
      <x:c r="N14" s="1"/>
    </x:row>
    <x:row r="15" ht="21" customHeight="1">
      <x:c r="A15" s="17" t="str">
        <x:v>DF</x:v>
      </x:c>
      <x:c r="B15" s="17" t="n">
        <x:v>2140</x:v>
      </x:c>
      <x:c r="C15" s="17" t="n">
        <x:v>2075</x:v>
      </x:c>
      <x:c r="D15" s="199" t="n">
        <x:v>296498.41</x:v>
      </x:c>
      <x:c r="E15" s="199" t="n">
        <x:v>142.54731249999998</x:v>
      </x:c>
      <x:c r="F15" s="27" t="n">
        <x:v>0.9293269230769231</x:v>
      </x:c>
      <x:c r="G15" s="1"/>
      <x:c r="H15" s="1"/>
      <x:c r="I15" s="1"/>
      <x:c r="J15" s="1"/>
      <x:c r="K15" s="1"/>
      <x:c r="L15" s="1"/>
      <x:c r="M15" s="1"/>
      <x:c r="N15" s="1"/>
    </x:row>
    <x:row r="16" ht="21" customHeight="1">
      <x:c r="A16" s="17" t="str">
        <x:v>GO</x:v>
      </x:c>
      <x:c r="B16" s="17" t="n">
        <x:v>2020</x:v>
      </x:c>
      <x:c r="C16" s="17" t="n">
        <x:v>1952</x:v>
      </x:c>
      <x:c r="D16" s="199" t="n">
        <x:v>282836.7</x:v>
      </x:c>
      <x:c r="E16" s="199" t="n">
        <x:v>144.5256515074093</x:v>
      </x:c>
      <x:c r="F16" s="27" t="n">
        <x:v>0.9182422074603985</x:v>
      </x:c>
      <x:c r="G16" s="1"/>
      <x:c r="H16" s="1"/>
      <x:c r="I16" s="1"/>
      <x:c r="J16" s="1"/>
      <x:c r="K16" s="1"/>
      <x:c r="L16" s="1"/>
      <x:c r="M16" s="1"/>
      <x:c r="N16" s="1"/>
    </x:row>
    <x:row r="17" ht="21" customHeight="1">
      <x:c r="A17" s="17" t="str">
        <x:v>ES</x:v>
      </x:c>
      <x:c r="B17" s="17" t="n">
        <x:v>2033</x:v>
      </x:c>
      <x:c r="C17" s="17" t="n">
        <x:v>1964</x:v>
      </x:c>
      <x:c r="D17" s="199" t="n">
        <x:v>268643.45</x:v>
      </x:c>
      <x:c r="E17" s="199" t="n">
        <x:v>134.6583709273183</x:v>
      </x:c>
      <x:c r="F17" s="27" t="n">
        <x:v>0.8776942355889724</x:v>
      </x:c>
      <x:c r="G17" s="1"/>
      <x:c r="H17" s="1"/>
      <x:c r="I17" s="1"/>
      <x:c r="J17" s="1"/>
      <x:c r="K17" s="1"/>
      <x:c r="L17" s="1"/>
      <x:c r="M17" s="1"/>
      <x:c r="N17" s="1"/>
    </x:row>
    <x:row r="18" ht="21" customHeight="1">
      <x:c r="A18" s="17" t="str">
        <x:v>PE</x:v>
      </x:c>
      <x:c r="B18" s="17" t="n">
        <x:v>1652</x:v>
      </x:c>
      <x:c r="C18" s="17" t="n">
        <x:v>1609</x:v>
      </x:c>
      <x:c r="D18" s="199" t="n">
        <x:v>251889.49</x:v>
      </x:c>
      <x:c r="E18" s="199" t="n">
        <x:v>158.12271814187068</x:v>
      </x:c>
      <x:c r="F18" s="27" t="n">
        <x:v>0.8920276208411801</x:v>
      </x:c>
      <x:c r="G18" s="1"/>
      <x:c r="H18" s="1"/>
      <x:c r="I18" s="1"/>
      <x:c r="J18" s="1"/>
      <x:c r="K18" s="1"/>
      <x:c r="L18" s="1"/>
      <x:c r="M18" s="1"/>
      <x:c r="N18" s="1"/>
    </x:row>
    <x:row r="19" ht="21" customHeight="1">
      <x:c r="A19" s="18" t="str">
        <x:v>CE</x:v>
      </x:c>
      <x:c r="B19" s="18" t="n">
        <x:v>1336</x:v>
      </x:c>
      <x:c r="C19" s="18" t="n">
        <x:v>1313</x:v>
      </x:c>
      <x:c r="D19" s="200" t="n">
        <x:v>219757.38</x:v>
      </x:c>
      <x:c r="E19" s="200" t="n">
        <x:v>171.8196872556685</x:v>
      </x:c>
      <x:c r="F19" s="28" t="n">
        <x:v>0.8467552775605942</x:v>
      </x:c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4" customHeight="1">
      <x:c r="A23" s="198" t="str">
        <x:v>Payment mix and leading sellers</x:v>
      </x:c>
      <x:c r="B23" s="198" t="str">
        <x:v>Payment mix and leading sellers</x:v>
      </x:c>
      <x:c r="C23" s="198" t="str">
        <x:v>Payment mix and leading sellers</x:v>
      </x:c>
      <x:c r="D23" s="198" t="str">
        <x:v>Payment mix and leading sellers</x:v>
      </x:c>
      <x:c r="E23" s="198" t="str">
        <x:v>Payment mix and leading sellers</x:v>
      </x:c>
      <x:c r="F23" s="198" t="str">
        <x:v>Payment mix and leading sellers</x:v>
      </x:c>
      <x:c r="G23" s="198" t="str">
        <x:v>Payment mix and leading sellers</x:v>
      </x:c>
      <x:c r="H23" s="198" t="str">
        <x:v>Payment mix and leading sellers</x:v>
      </x:c>
      <x:c r="I23" s="198" t="str">
        <x:v>Payment mix and leading sellers</x:v>
      </x:c>
      <x:c r="J23" s="198" t="str">
        <x:v>Payment mix and leading sellers</x:v>
      </x:c>
      <x:c r="K23" s="198" t="str">
        <x:v>Payment mix and leading sellers</x:v>
      </x:c>
      <x:c r="L23" s="198" t="str">
        <x:v>Payment mix and leading sellers</x:v>
      </x:c>
      <x:c r="M23" s="198" t="str">
        <x:v>Payment mix and leading sellers</x:v>
      </x:c>
      <x:c r="N23" s="198" t="str">
        <x:v>Payment mix and leading sellers</x:v>
      </x:c>
    </x:row>
    <x:row r="24" ht="28" customHeight="1">
      <x:c r="A24" s="13" t="str">
        <x:v>Payment Type</x:v>
      </x:c>
      <x:c r="B24" s="14" t="str">
        <x:v>Payment Value</x:v>
      </x:c>
      <x:c r="C24" s="15" t="str">
        <x:v>Value Share</x:v>
      </x:c>
      <x:c r="D24" s="1"/>
      <x:c r="E24" s="13" t="str">
        <x:v>Seller ID</x:v>
      </x:c>
      <x:c r="F24" s="14" t="str">
        <x:v>State</x:v>
      </x:c>
      <x:c r="G24" s="14" t="str">
        <x:v>Orders</x:v>
      </x:c>
      <x:c r="H24" s="14" t="str">
        <x:v>Items</x:v>
      </x:c>
      <x:c r="I24" s="15" t="str">
        <x:v>Realized GMV</x:v>
      </x:c>
      <x:c r="J24" s="1"/>
      <x:c r="K24" s="1"/>
      <x:c r="L24" s="1"/>
      <x:c r="M24" s="1"/>
      <x:c r="N24" s="1"/>
    </x:row>
    <x:row r="25" ht="21" customHeight="1">
      <x:c r="A25" s="17" t="str">
        <x:v>credit_card</x:v>
      </x:c>
      <x:c r="B25" s="199" t="n">
        <x:v>12542084.19</x:v>
      </x:c>
      <x:c r="C25" s="27" t="n">
        <x:v>0.7834458352834917</x:v>
      </x:c>
      <x:c r="D25" s="1"/>
      <x:c r="E25" s="17" t="str">
        <x:v>4869f7a5dfa277a7dca6462dcf3b52b2</x:v>
      </x:c>
      <x:c r="F25" s="17" t="str">
        <x:v>SP</x:v>
      </x:c>
      <x:c r="G25" s="17" t="n">
        <x:v>1132</x:v>
      </x:c>
      <x:c r="H25" s="17" t="n">
        <x:v>1156</x:v>
      </x:c>
      <x:c r="I25" s="199" t="n">
        <x:v>226987.93</x:v>
      </x:c>
      <x:c r="J25" s="1"/>
      <x:c r="K25" s="1"/>
      <x:c r="L25" s="1"/>
      <x:c r="M25" s="1"/>
      <x:c r="N25" s="1"/>
    </x:row>
    <x:row r="26" ht="21" customHeight="1">
      <x:c r="A26" s="17" t="str">
        <x:v>boleto</x:v>
      </x:c>
      <x:c r="B26" s="199" t="n">
        <x:v>2869361.27</x:v>
      </x:c>
      <x:c r="C26" s="27" t="n">
        <x:v>0.17923569183960728</x:v>
      </x:c>
      <x:c r="D26" s="1"/>
      <x:c r="E26" s="17" t="str">
        <x:v>53243585a1d6dc2643021fd1853d8905</x:v>
      </x:c>
      <x:c r="F26" s="17" t="str">
        <x:v>BA</x:v>
      </x:c>
      <x:c r="G26" s="17" t="n">
        <x:v>358</x:v>
      </x:c>
      <x:c r="H26" s="17" t="n">
        <x:v>410</x:v>
      </x:c>
      <x:c r="I26" s="199" t="n">
        <x:v>217940.44</x:v>
      </x:c>
      <x:c r="J26" s="1"/>
      <x:c r="K26" s="1"/>
      <x:c r="L26" s="1"/>
      <x:c r="M26" s="1"/>
      <x:c r="N26" s="1"/>
    </x:row>
    <x:row r="27" ht="21" customHeight="1">
      <x:c r="A27" s="17" t="str">
        <x:v>voucher</x:v>
      </x:c>
      <x:c r="B27" s="199" t="n">
        <x:v>379436.87</x:v>
      </x:c>
      <x:c r="C27" s="27" t="n">
        <x:v>0.023701661625866</x:v>
      </x:c>
      <x:c r="D27" s="1"/>
      <x:c r="E27" s="17" t="str">
        <x:v>4a3ca9315b744ce9f8e9374361493884</x:v>
      </x:c>
      <x:c r="F27" s="17" t="str">
        <x:v>SP</x:v>
      </x:c>
      <x:c r="G27" s="17" t="n">
        <x:v>1806</x:v>
      </x:c>
      <x:c r="H27" s="17" t="n">
        <x:v>1987</x:v>
      </x:c>
      <x:c r="I27" s="199" t="n">
        <x:v>196882.12</x:v>
      </x:c>
      <x:c r="J27" s="1"/>
      <x:c r="K27" s="1"/>
      <x:c r="L27" s="1"/>
      <x:c r="M27" s="1"/>
      <x:c r="N27" s="1"/>
    </x:row>
    <x:row r="28" ht="21" customHeight="1">
      <x:c r="A28" s="17" t="str">
        <x:v>debit_card</x:v>
      </x:c>
      <x:c r="B28" s="199" t="n">
        <x:v>217989.79</x:v>
      </x:c>
      <x:c r="C28" s="27" t="n">
        <x:v>0.01361681125103522</x:v>
      </x:c>
      <x:c r="D28" s="1"/>
      <x:c r="E28" s="17" t="str">
        <x:v>fa1c13f2614d7b5c4749cbc52fecda94</x:v>
      </x:c>
      <x:c r="F28" s="17" t="str">
        <x:v>SP</x:v>
      </x:c>
      <x:c r="G28" s="17" t="n">
        <x:v>585</x:v>
      </x:c>
      <x:c r="H28" s="17" t="n">
        <x:v>586</x:v>
      </x:c>
      <x:c r="I28" s="199" t="n">
        <x:v>190917.13999999998</x:v>
      </x:c>
      <x:c r="J28" s="1"/>
      <x:c r="K28" s="1"/>
      <x:c r="L28" s="1"/>
      <x:c r="M28" s="1"/>
      <x:c r="N28" s="1"/>
    </x:row>
    <x:row r="29" ht="21" customHeight="1">
      <x:c r="A29" s="18" t="str">
        <x:v>not_defined</x:v>
      </x:c>
      <x:c r="B29" s="200" t="n">
        <x:v>0</x:v>
      </x:c>
      <x:c r="C29" s="28" t="n">
        <x:v>0</x:v>
      </x:c>
      <x:c r="D29" s="1"/>
      <x:c r="E29" s="17" t="str">
        <x:v>7c67e1448b00f6e969d365cea6b010ab</x:v>
      </x:c>
      <x:c r="F29" s="17" t="str">
        <x:v>SP</x:v>
      </x:c>
      <x:c r="G29" s="17" t="n">
        <x:v>982</x:v>
      </x:c>
      <x:c r="H29" s="17" t="n">
        <x:v>1364</x:v>
      </x:c>
      <x:c r="I29" s="199" t="n">
        <x:v>186570.05</x:v>
      </x:c>
      <x:c r="J29" s="1"/>
      <x:c r="K29" s="1"/>
      <x:c r="L29" s="1"/>
      <x:c r="M29" s="1"/>
      <x:c r="N29" s="1"/>
    </x:row>
    <x:row r="30" ht="21" customHeight="1">
      <x:c r="A30" s="1"/>
      <x:c r="B30" s="1"/>
      <x:c r="C30" s="1"/>
      <x:c r="D30" s="1"/>
      <x:c r="E30" s="17" t="str">
        <x:v>7e93a43ef30c4f03f38b393420bc753a</x:v>
      </x:c>
      <x:c r="F30" s="17" t="str">
        <x:v>SP</x:v>
      </x:c>
      <x:c r="G30" s="17" t="n">
        <x:v>336</x:v>
      </x:c>
      <x:c r="H30" s="17" t="n">
        <x:v>340</x:v>
      </x:c>
      <x:c r="I30" s="199" t="n">
        <x:v>165981.49</x:v>
      </x:c>
      <x:c r="J30" s="1"/>
      <x:c r="K30" s="1"/>
      <x:c r="L30" s="1"/>
      <x:c r="M30" s="1"/>
      <x:c r="N30" s="1"/>
    </x:row>
    <x:row r="31" ht="21" customHeight="1">
      <x:c r="A31" s="1"/>
      <x:c r="B31" s="1"/>
      <x:c r="C31" s="1"/>
      <x:c r="D31" s="1"/>
      <x:c r="E31" s="17" t="str">
        <x:v>da8622b14eb17ae2831f4ac5b9dab84a</x:v>
      </x:c>
      <x:c r="F31" s="17" t="str">
        <x:v>SP</x:v>
      </x:c>
      <x:c r="G31" s="17" t="n">
        <x:v>1314</x:v>
      </x:c>
      <x:c r="H31" s="17" t="n">
        <x:v>1551</x:v>
      </x:c>
      <x:c r="I31" s="199" t="n">
        <x:v>159816.87</x:v>
      </x:c>
      <x:c r="J31" s="1"/>
      <x:c r="K31" s="1"/>
      <x:c r="L31" s="1"/>
      <x:c r="M31" s="1"/>
      <x:c r="N31" s="1"/>
    </x:row>
    <x:row r="32" ht="21" customHeight="1">
      <x:c r="A32" s="1"/>
      <x:c r="B32" s="1"/>
      <x:c r="C32" s="1"/>
      <x:c r="D32" s="1"/>
      <x:c r="E32" s="17" t="str">
        <x:v>7a67c85e85bb2ce8582c35f2203ad736</x:v>
      </x:c>
      <x:c r="F32" s="17" t="str">
        <x:v>SP</x:v>
      </x:c>
      <x:c r="G32" s="17" t="n">
        <x:v>1160</x:v>
      </x:c>
      <x:c r="H32" s="17" t="n">
        <x:v>1171</x:v>
      </x:c>
      <x:c r="I32" s="199" t="n">
        <x:v>139658.69</x:v>
      </x:c>
      <x:c r="J32" s="1"/>
      <x:c r="K32" s="1"/>
      <x:c r="L32" s="1"/>
      <x:c r="M32" s="1"/>
      <x:c r="N32" s="1"/>
    </x:row>
    <x:row r="33" ht="21" customHeight="1">
      <x:c r="A33" s="1"/>
      <x:c r="B33" s="1"/>
      <x:c r="C33" s="1"/>
      <x:c r="D33" s="1"/>
      <x:c r="E33" s="17" t="str">
        <x:v>1025f0e2d44d7041d6cf58b6550e0bfa</x:v>
      </x:c>
      <x:c r="F33" s="17" t="str">
        <x:v>SP</x:v>
      </x:c>
      <x:c r="G33" s="17" t="n">
        <x:v>915</x:v>
      </x:c>
      <x:c r="H33" s="17" t="n">
        <x:v>1428</x:v>
      </x:c>
      <x:c r="I33" s="199" t="n">
        <x:v>138208.56</x:v>
      </x:c>
      <x:c r="J33" s="1"/>
      <x:c r="K33" s="1"/>
      <x:c r="L33" s="1"/>
      <x:c r="M33" s="1"/>
      <x:c r="N33" s="1"/>
    </x:row>
    <x:row r="34" ht="21" customHeight="1">
      <x:c r="A34" s="1"/>
      <x:c r="B34" s="1"/>
      <x:c r="C34" s="1"/>
      <x:c r="D34" s="1"/>
      <x:c r="E34" s="17" t="str">
        <x:v>955fee9216a65b617aa5c0531780ce60</x:v>
      </x:c>
      <x:c r="F34" s="17" t="str">
        <x:v>SP</x:v>
      </x:c>
      <x:c r="G34" s="17" t="n">
        <x:v>1287</x:v>
      </x:c>
      <x:c r="H34" s="17" t="n">
        <x:v>1499</x:v>
      </x:c>
      <x:c r="I34" s="199" t="n">
        <x:v>131836.71</x:v>
      </x:c>
      <x:c r="J34" s="1"/>
      <x:c r="K34" s="1"/>
      <x:c r="L34" s="1"/>
      <x:c r="M34" s="1"/>
      <x:c r="N34" s="1"/>
    </x:row>
    <x:row r="35" ht="21" customHeight="1">
      <x:c r="A35" s="1"/>
      <x:c r="B35" s="1"/>
      <x:c r="C35" s="1"/>
      <x:c r="D35" s="1"/>
      <x:c r="E35" s="17" t="str">
        <x:v>46dc3b2cc0980fb8ec44634e21d2718e</x:v>
      </x:c>
      <x:c r="F35" s="17" t="str">
        <x:v>RJ</x:v>
      </x:c>
      <x:c r="G35" s="17" t="n">
        <x:v>521</x:v>
      </x:c>
      <x:c r="H35" s="17" t="n">
        <x:v>542</x:v>
      </x:c>
      <x:c r="I35" s="199" t="n">
        <x:v>122811.38</x:v>
      </x:c>
      <x:c r="J35" s="1"/>
      <x:c r="K35" s="1"/>
      <x:c r="L35" s="1"/>
      <x:c r="M35" s="1"/>
      <x:c r="N35" s="1"/>
    </x:row>
    <x:row r="36" ht="21" customHeight="1">
      <x:c r="A36" s="1"/>
      <x:c r="B36" s="1"/>
      <x:c r="C36" s="1"/>
      <x:c r="D36" s="1"/>
      <x:c r="E36" s="18" t="str">
        <x:v>6560211a19b47992c3666cc44a7e94c0</x:v>
      </x:c>
      <x:c r="F36" s="18" t="str">
        <x:v>SP</x:v>
      </x:c>
      <x:c r="G36" s="18" t="n">
        <x:v>1854</x:v>
      </x:c>
      <x:c r="H36" s="18" t="n">
        <x:v>2033</x:v>
      </x:c>
      <x:c r="I36" s="200" t="n">
        <x:v>120702.83</x:v>
      </x:c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</x:sheetData>
  <x:mergeCells>
    <x:mergeCell ref="A2:N2"/>
    <x:mergeCell ref="A3:N3"/>
    <x:mergeCell ref="A6:N6"/>
    <x:mergeCell ref="A23:N23"/>
  </x:mergeCells>
  <x:pageMargins left="0.7" right="0.7" top="0.75" bottom="0.75" header="0.3" footer="0.3"/>
  <x:drawing xmlns:r="http://schemas.openxmlformats.org/officeDocument/2006/relationships" r:id="R9ed6f563201a4c86"/>
</x:worksheet>
</file>

<file path=xl/worksheets/sheet4.xml><?xml version="1.0" encoding="utf-8"?>
<x:worksheet xmlns:x="http://schemas.openxmlformats.org/spreadsheetml/2006/main">
  <x:sheetPr>
    <x:tabColor rgb="FFD9485F"/>
  </x:sheetPr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8" customHeight="1">
      <x:c r="A2" s="31" t="str">
        <x:v>Delivery &amp; Customer Experience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32" t="str">
        <x:v>Delivery variance, service level, and the review-score penalty from lateness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11" t="str">
        <x:v>On-Time Delivery Rate</x:v>
      </x:c>
      <x:c r="B6" s="112" t="str">
        <x:v>On-Time Delivery Rate</x:v>
      </x:c>
      <x:c r="C6" s="113" t="str">
        <x:v>On-Time Delivery Rate</x:v>
      </x:c>
      <x:c r="D6" s="179" t="str">
        <x:v>Cancellation / Unavailable</x:v>
      </x:c>
      <x:c r="E6" s="239" t="str">
        <x:v>Cancellation / Unavailable</x:v>
      </x:c>
      <x:c r="F6" s="180" t="str">
        <x:v>Cancellation / Unavailable</x:v>
      </x:c>
      <x:c r="G6" s="41" t="str">
        <x:v>Average Review Score</x:v>
      </x:c>
      <x:c r="H6" s="42" t="str">
        <x:v>Average Review Score</x:v>
      </x:c>
      <x:c r="I6" s="43" t="str">
        <x:v>Average Review Score</x:v>
      </x:c>
      <x:c r="J6" s="1"/>
      <x:c r="K6" s="1"/>
      <x:c r="L6" s="1"/>
      <x:c r="M6" s="1"/>
      <x:c r="N6" s="1"/>
    </x:row>
    <x:row r="7">
      <x:c r="A7" s="231" t="n">
        <x:f>'Data_Summary'!B8</x:f>
        <x:v>0.9188710145528421</x:v>
      </x:c>
      <x:c r="B7" s="232"/>
      <x:c r="C7" s="233"/>
      <x:c r="D7" s="194" t="n">
        <x:f>'Data_Summary'!B9</x:f>
        <x:v>0.012409368369183738</x:v>
      </x:c>
      <x:c r="E7" s="245"/>
      <x:c r="F7" s="195"/>
      <x:c r="G7" s="259" t="n">
        <x:f>'Data_Summary'!B10</x:f>
        <x:v>4.09</x:v>
      </x:c>
      <x:c r="H7" s="260"/>
      <x:c r="I7" s="261"/>
      <x:c r="J7" s="1"/>
      <x:c r="K7" s="1"/>
      <x:c r="L7" s="1"/>
      <x:c r="M7" s="1"/>
      <x:c r="N7" s="1"/>
    </x:row>
    <x:row r="8">
      <x:c r="A8" s="234"/>
      <x:c r="B8" s="235"/>
      <x:c r="C8" s="236"/>
      <x:c r="D8" s="196"/>
      <x:c r="E8" s="246"/>
      <x:c r="F8" s="197"/>
      <x:c r="G8" s="262"/>
      <x:c r="H8" s="263"/>
      <x:c r="I8" s="264"/>
      <x:c r="J8" s="1"/>
      <x:c r="K8" s="1"/>
      <x:c r="L8" s="1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4" customHeight="1">
      <x:c r="A10" s="198" t="str">
        <x:v>Review score by delivery variance</x:v>
      </x:c>
      <x:c r="B10" s="198" t="str">
        <x:v>Review score by delivery variance</x:v>
      </x:c>
      <x:c r="C10" s="198" t="str">
        <x:v>Review score by delivery variance</x:v>
      </x:c>
      <x:c r="D10" s="198" t="str">
        <x:v>Review score by delivery variance</x:v>
      </x:c>
      <x:c r="E10" s="198" t="str">
        <x:v>Review score by delivery variance</x:v>
      </x:c>
      <x:c r="F10" s="198" t="str">
        <x:v>Review score by delivery variance</x:v>
      </x:c>
      <x:c r="G10" s="198" t="str">
        <x:v>Review score by delivery variance</x:v>
      </x:c>
      <x:c r="H10" s="198" t="str">
        <x:v>Review score by delivery variance</x:v>
      </x:c>
      <x:c r="I10" s="198" t="str">
        <x:v>Review score by delivery variance</x:v>
      </x:c>
      <x:c r="J10" s="198" t="str">
        <x:v>Review score by delivery variance</x:v>
      </x:c>
      <x:c r="K10" s="198" t="str">
        <x:v>Review score by delivery variance</x:v>
      </x:c>
      <x:c r="L10" s="198" t="str">
        <x:v>Review score by delivery variance</x:v>
      </x:c>
      <x:c r="M10" s="198" t="str">
        <x:v>Review score by delivery variance</x:v>
      </x:c>
      <x:c r="N10" s="198" t="str">
        <x:v>Review score by delivery variance</x:v>
      </x:c>
    </x:row>
    <x:row r="11" ht="28" customHeight="1">
      <x:c r="A11" s="13" t="str">
        <x:v>Delivery Bucket</x:v>
      </x:c>
      <x:c r="B11" s="14" t="str">
        <x:v>Orders</x:v>
      </x:c>
      <x:c r="C11" s="14" t="str">
        <x:v>Average Review</x:v>
      </x:c>
      <x:c r="D11" s="15" t="str">
        <x:v>Average Delivery Days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1" customHeight="1">
      <x:c r="A12" s="17" t="str">
        <x:v>0-7 days early</x:v>
      </x:c>
      <x:c r="B12" s="17" t="n">
        <x:v>22169</x:v>
      </x:c>
      <x:c r="C12" s="29" t="n">
        <x:v>4.212399019696832</x:v>
      </x:c>
      <x:c r="D12" s="29" t="n">
        <x:v>13.157198122837528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1" customHeight="1">
      <x:c r="A13" s="17" t="str">
        <x:v>1-3 days late</x:v>
      </x:c>
      <x:c r="B13" s="17" t="n">
        <x:v>2662</x:v>
      </x:c>
      <x:c r="C13" s="29" t="n">
        <x:v>3.7659332321699543</x:v>
      </x:c>
      <x:c r="D13" s="29" t="n">
        <x:v>21.076333922906752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1" customHeight="1">
      <x:c r="A14" s="17" t="str">
        <x:v>4-7 days late</x:v>
      </x:c>
      <x:c r="B14" s="17" t="n">
        <x:v>1819</x:v>
      </x:c>
      <x:c r="C14" s="29" t="n">
        <x:v>2.3181049069373945</x:v>
      </x:c>
      <x:c r="D14" s="29" t="n">
        <x:v>26.680848667867977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1" customHeight="1">
      <x:c r="A15" s="17" t="str">
        <x:v>8+ days early</x:v>
      </x:c>
      <x:c r="B15" s="17" t="n">
        <x:v>66480</x:v>
      </x:c>
      <x:c r="C15" s="29" t="n">
        <x:v>4.321105634015786</x:v>
      </x:c>
      <x:c r="D15" s="29" t="n">
        <x:v>10.126872919870081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1" customHeight="1">
      <x:c r="A16" s="18" t="str">
        <x:v>8+ days late</x:v>
      </x:c>
      <x:c r="B16" s="18" t="n">
        <x:v>3346</x:v>
      </x:c>
      <x:c r="C16" s="30" t="n">
        <x:v>1.7273286197356286</x:v>
      </x:c>
      <x:c r="D16" s="30" t="n">
        <x:v>42.456444099228484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4" customHeight="1">
      <x:c r="A27" s="198" t="str">
        <x:v>Service level by high-volume customer state</x:v>
      </x:c>
      <x:c r="B27" s="198" t="str">
        <x:v>Service level by high-volume customer state</x:v>
      </x:c>
      <x:c r="C27" s="198" t="str">
        <x:v>Service level by high-volume customer state</x:v>
      </x:c>
      <x:c r="D27" s="198" t="str">
        <x:v>Service level by high-volume customer state</x:v>
      </x:c>
      <x:c r="E27" s="198" t="str">
        <x:v>Service level by high-volume customer state</x:v>
      </x:c>
      <x:c r="F27" s="198" t="str">
        <x:v>Service level by high-volume customer state</x:v>
      </x:c>
      <x:c r="G27" s="198" t="str">
        <x:v>Service level by high-volume customer state</x:v>
      </x:c>
      <x:c r="H27" s="198" t="str">
        <x:v>Service level by high-volume customer state</x:v>
      </x:c>
      <x:c r="I27" s="198" t="str">
        <x:v>Service level by high-volume customer state</x:v>
      </x:c>
      <x:c r="J27" s="198" t="str">
        <x:v>Service level by high-volume customer state</x:v>
      </x:c>
      <x:c r="K27" s="198" t="str">
        <x:v>Service level by high-volume customer state</x:v>
      </x:c>
      <x:c r="L27" s="198" t="str">
        <x:v>Service level by high-volume customer state</x:v>
      </x:c>
      <x:c r="M27" s="198" t="str">
        <x:v>Service level by high-volume customer state</x:v>
      </x:c>
      <x:c r="N27" s="198" t="str">
        <x:v>Service level by high-volume customer state</x:v>
      </x:c>
    </x:row>
    <x:row r="28" ht="28" customHeight="1">
      <x:c r="A28" s="13" t="str">
        <x:v>State</x:v>
      </x:c>
      <x:c r="B28" s="14" t="str">
        <x:v>Orders</x:v>
      </x:c>
      <x:c r="C28" s="14" t="str">
        <x:v>On-Time Rate</x:v>
      </x:c>
      <x:c r="D28" s="15" t="str">
        <x:v>Average Review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1" customHeight="1">
      <x:c r="A29" s="17" t="str">
        <x:v>SP</x:v>
      </x:c>
      <x:c r="B29" s="17" t="n">
        <x:v>41746</x:v>
      </x:c>
      <x:c r="C29" s="27" t="n">
        <x:v>0.9410544511668107</x:v>
      </x:c>
      <x:c r="D29" s="29" t="n">
        <x:v>4.173442322530864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1" customHeight="1">
      <x:c r="A30" s="17" t="str">
        <x:v>RJ</x:v>
      </x:c>
      <x:c r="B30" s="17" t="n">
        <x:v>12852</x:v>
      </x:c>
      <x:c r="C30" s="27" t="n">
        <x:v>0.8652958795434308</x:v>
      </x:c>
      <x:c r="D30" s="29" t="n">
        <x:v>3.876960668400725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1" customHeight="1">
      <x:c r="A31" s="17" t="str">
        <x:v>MG</x:v>
      </x:c>
      <x:c r="B31" s="17" t="n">
        <x:v>11635</x:v>
      </x:c>
      <x:c r="C31" s="27" t="n">
        <x:v>0.943813298106561</x:v>
      </x:c>
      <x:c r="D31" s="29" t="n">
        <x:v>4.135537476198719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1" customHeight="1">
      <x:c r="A32" s="17" t="str">
        <x:v>RS</x:v>
      </x:c>
      <x:c r="B32" s="17" t="n">
        <x:v>5466</x:v>
      </x:c>
      <x:c r="C32" s="27" t="n">
        <x:v>0.9285179640718563</x:v>
      </x:c>
      <x:c r="D32" s="29" t="n">
        <x:v>4.132279992651111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1" customHeight="1">
      <x:c r="A33" s="17" t="str">
        <x:v>PR</x:v>
      </x:c>
      <x:c r="B33" s="17" t="n">
        <x:v>5045</x:v>
      </x:c>
      <x:c r="C33" s="27" t="n">
        <x:v>0.9500304692260817</x:v>
      </x:c>
      <x:c r="D33" s="29" t="n">
        <x:v>4.181709503885236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1" customHeight="1">
      <x:c r="A34" s="17" t="str">
        <x:v>SC</x:v>
      </x:c>
      <x:c r="B34" s="17" t="n">
        <x:v>3637</x:v>
      </x:c>
      <x:c r="C34" s="27" t="n">
        <x:v>0.9024527769946433</x:v>
      </x:c>
      <x:c r="D34" s="29" t="n">
        <x:v>4.073981712385702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1" customHeight="1">
      <x:c r="A35" s="17" t="str">
        <x:v>BA</x:v>
      </x:c>
      <x:c r="B35" s="17" t="n">
        <x:v>3380</x:v>
      </x:c>
      <x:c r="C35" s="27" t="n">
        <x:v>0.8596437346437347</x:v>
      </x:c>
      <x:c r="D35" s="29" t="n">
        <x:v>3.8607784431137726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1" customHeight="1">
      <x:c r="A36" s="17" t="str">
        <x:v>DF</x:v>
      </x:c>
      <x:c r="B36" s="17" t="n">
        <x:v>2140</x:v>
      </x:c>
      <x:c r="C36" s="27" t="n">
        <x:v>0.9293269230769231</x:v>
      </x:c>
      <x:c r="D36" s="29" t="n">
        <x:v>4.06390977443609</x:v>
      </x:c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1" customHeight="1">
      <x:c r="A37" s="17" t="str">
        <x:v>GO</x:v>
      </x:c>
      <x:c r="B37" s="17" t="n">
        <x:v>2020</x:v>
      </x:c>
      <x:c r="C37" s="27" t="n">
        <x:v>0.9182422074603985</x:v>
      </x:c>
      <x:c r="D37" s="29" t="n">
        <x:v>4.042850024912805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1" customHeight="1">
      <x:c r="A38" s="17" t="str">
        <x:v>ES</x:v>
      </x:c>
      <x:c r="B38" s="17" t="n">
        <x:v>2033</x:v>
      </x:c>
      <x:c r="C38" s="27" t="n">
        <x:v>0.8776942355889724</x:v>
      </x:c>
      <x:c r="D38" s="29" t="n">
        <x:v>4.037387836490528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1" customHeight="1">
      <x:c r="A39" s="17" t="str">
        <x:v>PE</x:v>
      </x:c>
      <x:c r="B39" s="17" t="n">
        <x:v>1652</x:v>
      </x:c>
      <x:c r="C39" s="27" t="n">
        <x:v>0.8920276208411801</x:v>
      </x:c>
      <x:c r="D39" s="29" t="n">
        <x:v>4.008562691131498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1" customHeight="1">
      <x:c r="A40" s="18" t="str">
        <x:v>CE</x:v>
      </x:c>
      <x:c r="B40" s="18" t="n">
        <x:v>1336</x:v>
      </x:c>
      <x:c r="C40" s="28" t="n">
        <x:v>0.8467552775605942</x:v>
      </x:c>
      <x:c r="D40" s="30" t="n">
        <x:v>3.856711915535445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</x:sheetData>
  <x:mergeCells>
    <x:mergeCell ref="A2:N2"/>
    <x:mergeCell ref="A3:N3"/>
    <x:mergeCell ref="A6:C6"/>
    <x:mergeCell ref="A7:C8"/>
    <x:mergeCell ref="D6:F6"/>
    <x:mergeCell ref="D7:F8"/>
    <x:mergeCell ref="G6:I6"/>
    <x:mergeCell ref="G7:I8"/>
    <x:mergeCell ref="A10:N10"/>
    <x:mergeCell ref="A27:N27"/>
  </x:mergeCells>
  <x:conditionalFormatting sqref="C12:C16">
    <x:cfRule type="colorScale" priority="1">
      <x:colorScale>
        <x:cfvo type="min"/>
        <x:cfvo type="percentile" val="50"/>
        <x:cfvo type="max"/>
        <x:color rgb="FFD9485F"/>
        <x:color rgb="FFE9A23B"/>
        <x:color rgb="FF0F9D74"/>
      </x:colorScale>
    </x:cfRule>
  </x:conditionalFormatting>
  <x:pageMargins left="0.7" right="0.7" top="0.75" bottom="0.75" header="0.3" footer="0.3"/>
  <x:drawing xmlns:r="http://schemas.openxmlformats.org/officeDocument/2006/relationships" r:id="R6c6e81defee64f2c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889999866485596" hidden="0" customWidth="1"/>
    <x:col min="2" max="2" width="5.329999923706055" hidden="0" customWidth="1"/>
    <x:col min="3" max="3" width="12.4399995803833" hidden="0" customWidth="1"/>
    <x:col min="4" max="4" width="14.779999732971191" hidden="0" customWidth="1"/>
    <x:col min="5" max="5" width="8.109999656677246" hidden="0" customWidth="1"/>
    <x:col min="6" max="6" width="12.890000343322754" hidden="0" customWidth="1"/>
    <x:col min="7" max="7" width="11.890000343322754" hidden="0" customWidth="1"/>
    <x:col min="8" max="8" width="9.4399995803833" hidden="0" customWidth="1"/>
  </x:cols>
  <x:sheetData>
    <x:row r="1" ht="28" customHeight="1">
      <x:c r="A1" s="13" t="str">
        <x:v>Month</x:v>
      </x:c>
      <x:c r="B1" s="14" t="str">
        <x:v>Orders</x:v>
      </x:c>
      <x:c r="C1" s="14" t="str">
        <x:v>Delivered Orders</x:v>
      </x:c>
      <x:c r="D1" s="14" t="str">
        <x:v>Realized GMV (BRL)</x:v>
      </x:c>
      <x:c r="E1" s="14" t="str">
        <x:v>AOV (BRL)</x:v>
      </x:c>
      <x:c r="F1" s="14" t="str">
        <x:v>Cancellation Rate</x:v>
      </x:c>
      <x:c r="G1" s="14" t="str">
        <x:v>Average Review</x:v>
      </x:c>
      <x:c r="H1" s="15" t="str">
        <x:v>GMV Growth</x:v>
      </x:c>
      <x:c r="I1" s="1"/>
      <x:c r="J1" s="1"/>
      <x:c r="K1" s="1"/>
      <x:c r="L1" s="1"/>
      <x:c r="M1" s="1"/>
      <x:c r="N1" s="1"/>
    </x:row>
    <x:row r="2" ht="21" customHeight="1">
      <x:c r="A2" s="17" t="str">
        <x:v>2016-09</x:v>
      </x:c>
      <x:c r="B2" s="23" t="n">
        <x:v>4</x:v>
      </x:c>
      <x:c r="C2" s="23" t="n">
        <x:v>1</x:v>
      </x:c>
      <x:c r="D2" s="25" t="n">
        <x:v>134.97</x:v>
      </x:c>
      <x:c r="E2" s="25" t="n">
        <x:v>134.97</x:v>
      </x:c>
      <x:c r="F2" s="27" t="n">
        <x:v>0.5</x:v>
      </x:c>
      <x:c r="G2" s="29" t="n">
        <x:v>1</x:v>
      </x:c>
      <x:c r="H2" s="27"/>
      <x:c r="I2" s="1"/>
      <x:c r="J2" s="1"/>
      <x:c r="K2" s="1"/>
      <x:c r="L2" s="1"/>
      <x:c r="M2" s="1"/>
      <x:c r="N2" s="1"/>
    </x:row>
    <x:row r="3" ht="21" customHeight="1">
      <x:c r="A3" s="17" t="str">
        <x:v>2016-10</x:v>
      </x:c>
      <x:c r="B3" s="23" t="n">
        <x:v>324</x:v>
      </x:c>
      <x:c r="C3" s="23" t="n">
        <x:v>265</x:v>
      </x:c>
      <x:c r="D3" s="25" t="n">
        <x:v>40325.11</x:v>
      </x:c>
      <x:c r="E3" s="25" t="n">
        <x:v>152.17022641509433</x:v>
      </x:c>
      <x:c r="F3" s="27" t="n">
        <x:v>0.09567901234567901</x:v>
      </x:c>
      <x:c r="G3" s="29" t="n">
        <x:v>3.561128526645768</x:v>
      </x:c>
      <x:c r="H3" s="27" t="n">
        <x:v>297.77091205453064</x:v>
      </x:c>
      <x:c r="I3" s="1"/>
      <x:c r="J3" s="1"/>
      <x:c r="K3" s="1"/>
      <x:c r="L3" s="1"/>
      <x:c r="M3" s="1"/>
      <x:c r="N3" s="1"/>
    </x:row>
    <x:row r="4" ht="21" customHeight="1">
      <x:c r="A4" s="17" t="str">
        <x:v>2016-12</x:v>
      </x:c>
      <x:c r="B4" s="23" t="n">
        <x:v>1</x:v>
      </x:c>
      <x:c r="C4" s="23" t="n">
        <x:v>1</x:v>
      </x:c>
      <x:c r="D4" s="25" t="n">
        <x:v>10.9</x:v>
      </x:c>
      <x:c r="E4" s="25" t="n">
        <x:v>10.9</x:v>
      </x:c>
      <x:c r="F4" s="27" t="n">
        <x:v>0</x:v>
      </x:c>
      <x:c r="G4" s="29" t="n">
        <x:v>5</x:v>
      </x:c>
      <x:c r="H4" s="27" t="n">
        <x:v>-0.9997296969555693</x:v>
      </x:c>
      <x:c r="I4" s="1"/>
      <x:c r="J4" s="1"/>
      <x:c r="K4" s="1"/>
      <x:c r="L4" s="1"/>
      <x:c r="M4" s="1"/>
      <x:c r="N4" s="1"/>
    </x:row>
    <x:row r="5" ht="21" customHeight="1">
      <x:c r="A5" s="17" t="str">
        <x:v>2017-01</x:v>
      </x:c>
      <x:c r="B5" s="23" t="n">
        <x:v>800</x:v>
      </x:c>
      <x:c r="C5" s="23" t="n">
        <x:v>750</x:v>
      </x:c>
      <x:c r="D5" s="25" t="n">
        <x:v>111798.36</x:v>
      </x:c>
      <x:c r="E5" s="25" t="n">
        <x:v>149.06448</x:v>
      </x:c>
      <x:c r="F5" s="27" t="n">
        <x:v>0.01625</x:v>
      </x:c>
      <x:c r="G5" s="29" t="n">
        <x:v>4.0620253164556965</x:v>
      </x:c>
      <x:c r="H5" s="27" t="n">
        <x:v>10255.730275229358</x:v>
      </x:c>
      <x:c r="I5" s="1"/>
      <x:c r="J5" s="1"/>
      <x:c r="K5" s="1"/>
      <x:c r="L5" s="1"/>
      <x:c r="M5" s="1"/>
      <x:c r="N5" s="1"/>
    </x:row>
    <x:row r="6" ht="21" customHeight="1">
      <x:c r="A6" s="17" t="str">
        <x:v>2017-02</x:v>
      </x:c>
      <x:c r="B6" s="23" t="n">
        <x:v>1780</x:v>
      </x:c>
      <x:c r="C6" s="23" t="n">
        <x:v>1653</x:v>
      </x:c>
      <x:c r="D6" s="25" t="n">
        <x:v>234223.4</x:v>
      </x:c>
      <x:c r="E6" s="25" t="n">
        <x:v>141.69594676346037</x:v>
      </x:c>
      <x:c r="F6" s="27" t="n">
        <x:v>0.0348314606741573</x:v>
      </x:c>
      <x:c r="G6" s="29" t="n">
        <x:v>4.016402714932127</x:v>
      </x:c>
      <x:c r="H6" s="27" t="n">
        <x:v>1.0950521993345879</x:v>
      </x:c>
      <x:c r="I6" s="1"/>
      <x:c r="J6" s="1"/>
      <x:c r="K6" s="1"/>
      <x:c r="L6" s="1"/>
      <x:c r="M6" s="1"/>
      <x:c r="N6" s="1"/>
    </x:row>
    <x:row r="7" ht="21" customHeight="1">
      <x:c r="A7" s="17" t="str">
        <x:v>2017-03</x:v>
      </x:c>
      <x:c r="B7" s="23" t="n">
        <x:v>2682</x:v>
      </x:c>
      <x:c r="C7" s="23" t="n">
        <x:v>2546</x:v>
      </x:c>
      <x:c r="D7" s="25" t="n">
        <x:v>359198.85</x:v>
      </x:c>
      <x:c r="E7" s="25" t="n">
        <x:v>141.0836017282011</x:v>
      </x:c>
      <x:c r="F7" s="27" t="n">
        <x:v>0.024235645041014168</x:v>
      </x:c>
      <x:c r="G7" s="29" t="n">
        <x:v>4.074032318677189</x:v>
      </x:c>
      <x:c r="H7" s="27" t="n">
        <x:v>0.5335737163750505</x:v>
      </x:c>
      <x:c r="I7" s="1"/>
      <x:c r="J7" s="1"/>
      <x:c r="K7" s="1"/>
      <x:c r="L7" s="1"/>
      <x:c r="M7" s="1"/>
      <x:c r="N7" s="1"/>
    </x:row>
    <x:row r="8" ht="21" customHeight="1">
      <x:c r="A8" s="17" t="str">
        <x:v>2017-04</x:v>
      </x:c>
      <x:c r="B8" s="23" t="n">
        <x:v>2404</x:v>
      </x:c>
      <x:c r="C8" s="23" t="n">
        <x:v>2303</x:v>
      </x:c>
      <x:c r="D8" s="25" t="n">
        <x:v>340669.68</x:v>
      </x:c>
      <x:c r="E8" s="25" t="n">
        <x:v>147.9243074250977</x:v>
      </x:c>
      <x:c r="F8" s="27" t="n">
        <x:v>0.011231281198003328</x:v>
      </x:c>
      <x:c r="G8" s="29" t="n">
        <x:v>4.045245077503142</x:v>
      </x:c>
      <x:c r="H8" s="27" t="n">
        <x:v>-0.051584714149279676</x:v>
      </x:c>
      <x:c r="I8" s="1"/>
      <x:c r="J8" s="1"/>
      <x:c r="K8" s="1"/>
      <x:c r="L8" s="1"/>
      <x:c r="M8" s="1"/>
      <x:c r="N8" s="1"/>
    </x:row>
    <x:row r="9" ht="21" customHeight="1">
      <x:c r="A9" s="17" t="str">
        <x:v>2017-05</x:v>
      </x:c>
      <x:c r="B9" s="23" t="n">
        <x:v>3700</x:v>
      </x:c>
      <x:c r="C9" s="23" t="n">
        <x:v>3546</x:v>
      </x:c>
      <x:c r="D9" s="25" t="n">
        <x:v>489338.25</x:v>
      </x:c>
      <x:c r="E9" s="25" t="n">
        <x:v>137.99725042301185</x:v>
      </x:c>
      <x:c r="F9" s="27" t="n">
        <x:v>0.016216216216216217</x:v>
      </x:c>
      <x:c r="G9" s="29" t="n">
        <x:v>4.139388979814512</x:v>
      </x:c>
      <x:c r="H9" s="27" t="n">
        <x:v>0.4364009441638599</x:v>
      </x:c>
      <x:c r="I9" s="1"/>
      <x:c r="J9" s="1"/>
      <x:c r="K9" s="1"/>
      <x:c r="L9" s="1"/>
      <x:c r="M9" s="1"/>
      <x:c r="N9" s="1"/>
    </x:row>
    <x:row r="10" ht="21" customHeight="1">
      <x:c r="A10" s="17" t="str">
        <x:v>2017-06</x:v>
      </x:c>
      <x:c r="B10" s="23" t="n">
        <x:v>3245</x:v>
      </x:c>
      <x:c r="C10" s="23" t="n">
        <x:v>3135</x:v>
      </x:c>
      <x:c r="D10" s="25" t="n">
        <x:v>421923.37</x:v>
      </x:c>
      <x:c r="E10" s="25" t="n">
        <x:v>134.58480701754385</x:v>
      </x:c>
      <x:c r="F10" s="27" t="n">
        <x:v>0.012326656394453005</x:v>
      </x:c>
      <x:c r="G10" s="29" t="n">
        <x:v>4.146674953387197</x:v>
      </x:c>
      <x:c r="H10" s="27" t="n">
        <x:v>-0.13776744409414143</x:v>
      </x:c>
      <x:c r="I10" s="1"/>
      <x:c r="J10" s="1"/>
      <x:c r="K10" s="1"/>
      <x:c r="L10" s="1"/>
      <x:c r="M10" s="1"/>
      <x:c r="N10" s="1"/>
    </x:row>
    <x:row r="11" ht="21" customHeight="1">
      <x:c r="A11" s="17" t="str">
        <x:v>2017-07</x:v>
      </x:c>
      <x:c r="B11" s="23" t="n">
        <x:v>4026</x:v>
      </x:c>
      <x:c r="C11" s="23" t="n">
        <x:v>3872</x:v>
      </x:c>
      <x:c r="D11" s="25" t="n">
        <x:v>481604.52</x:v>
      </x:c>
      <x:c r="E11" s="25" t="n">
        <x:v>124.3813326446281</x:v>
      </x:c>
      <x:c r="F11" s="27" t="n">
        <x:v>0.01987083954297069</x:v>
      </x:c>
      <x:c r="G11" s="29" t="n">
        <x:v>4.174185463659148</x:v>
      </x:c>
      <x:c r="H11" s="27" t="n">
        <x:v>0.14145021168180372</x:v>
      </x:c>
      <x:c r="I11" s="1"/>
      <x:c r="J11" s="1"/>
      <x:c r="K11" s="1"/>
      <x:c r="L11" s="1"/>
      <x:c r="M11" s="1"/>
      <x:c r="N11" s="1"/>
    </x:row>
    <x:row r="12" ht="21" customHeight="1">
      <x:c r="A12" s="17" t="str">
        <x:v>2017-08</x:v>
      </x:c>
      <x:c r="B12" s="23" t="n">
        <x:v>4331</x:v>
      </x:c>
      <x:c r="C12" s="23" t="n">
        <x:v>4193</x:v>
      </x:c>
      <x:c r="D12" s="25" t="n">
        <x:v>554699.7</x:v>
      </x:c>
      <x:c r="E12" s="25" t="n">
        <x:v>132.29184354877174</x:v>
      </x:c>
      <x:c r="F12" s="27" t="n">
        <x:v>0.01362271992611406</x:v>
      </x:c>
      <x:c r="G12" s="29" t="n">
        <x:v>4.238715681712424</x:v>
      </x:c>
      <x:c r="H12" s="27" t="n">
        <x:v>0.15177428152044747</x:v>
      </x:c>
      <x:c r="I12" s="1"/>
      <x:c r="J12" s="1"/>
      <x:c r="K12" s="1"/>
      <x:c r="L12" s="1"/>
      <x:c r="M12" s="1"/>
      <x:c r="N12" s="1"/>
    </x:row>
    <x:row r="13" ht="21" customHeight="1">
      <x:c r="A13" s="17" t="str">
        <x:v>2017-09</x:v>
      </x:c>
      <x:c r="B13" s="23" t="n">
        <x:v>4285</x:v>
      </x:c>
      <x:c r="C13" s="23" t="n">
        <x:v>4150</x:v>
      </x:c>
      <x:c r="D13" s="25" t="n">
        <x:v>607399.67</x:v>
      </x:c>
      <x:c r="E13" s="25" t="n">
        <x:v>146.36136626506024</x:v>
      </x:c>
      <x:c r="F13" s="27" t="n">
        <x:v>0.01353558926487748</x:v>
      </x:c>
      <x:c r="G13" s="29" t="n">
        <x:v>4.187955775111738</x:v>
      </x:c>
      <x:c r="H13" s="27" t="n">
        <x:v>0.09500630701621082</x:v>
      </x:c>
      <x:c r="I13" s="1"/>
      <x:c r="J13" s="1"/>
      <x:c r="K13" s="1"/>
      <x:c r="L13" s="1"/>
      <x:c r="M13" s="1"/>
      <x:c r="N13" s="1"/>
    </x:row>
    <x:row r="14" ht="21" customHeight="1">
      <x:c r="A14" s="17" t="str">
        <x:v>2017-10</x:v>
      </x:c>
      <x:c r="B14" s="23" t="n">
        <x:v>4631</x:v>
      </x:c>
      <x:c r="C14" s="23" t="n">
        <x:v>4478</x:v>
      </x:c>
      <x:c r="D14" s="25" t="n">
        <x:v>648247.65</x:v>
      </x:c>
      <x:c r="E14" s="25" t="n">
        <x:v>144.76276239392587</x:v>
      </x:c>
      <x:c r="F14" s="27" t="n">
        <x:v>0.01813863096523429</x:v>
      </x:c>
      <x:c r="G14" s="29" t="n">
        <x:v>4.123448726322665</x:v>
      </x:c>
      <x:c r="H14" s="27" t="n">
        <x:v>0.06725057983650196</x:v>
      </x:c>
      <x:c r="I14" s="1"/>
      <x:c r="J14" s="1"/>
      <x:c r="K14" s="1"/>
      <x:c r="L14" s="1"/>
      <x:c r="M14" s="1"/>
      <x:c r="N14" s="1"/>
    </x:row>
    <x:row r="15" ht="21" customHeight="1">
      <x:c r="A15" s="17" t="str">
        <x:v>2017-11</x:v>
      </x:c>
      <x:c r="B15" s="23" t="n">
        <x:v>7544</x:v>
      </x:c>
      <x:c r="C15" s="23" t="n">
        <x:v>7289</x:v>
      </x:c>
      <x:c r="D15" s="25" t="n">
        <x:v>987765.37</x:v>
      </x:c>
      <x:c r="E15" s="25" t="n">
        <x:v>135.51452462614898</x:v>
      </x:c>
      <x:c r="F15" s="27" t="n">
        <x:v>0.016039236479321314</x:v>
      </x:c>
      <x:c r="G15" s="29" t="n">
        <x:v>3.9101604278074866</x:v>
      </x:c>
      <x:c r="H15" s="27" t="n">
        <x:v>0.5237469352954847</x:v>
      </x:c>
      <x:c r="I15" s="1"/>
      <x:c r="J15" s="1"/>
      <x:c r="K15" s="1"/>
      <x:c r="L15" s="1"/>
      <x:c r="M15" s="1"/>
      <x:c r="N15" s="1"/>
    </x:row>
    <x:row r="16" ht="21" customHeight="1">
      <x:c r="A16" s="17" t="str">
        <x:v>2017-12</x:v>
      </x:c>
      <x:c r="B16" s="23" t="n">
        <x:v>5673</x:v>
      </x:c>
      <x:c r="C16" s="23" t="n">
        <x:v>5513</x:v>
      </x:c>
      <x:c r="D16" s="25" t="n">
        <x:v>726033.1900000001</x:v>
      </x:c>
      <x:c r="E16" s="25" t="n">
        <x:v>131.694756031199</x:v>
      </x:c>
      <x:c r="F16" s="27" t="n">
        <x:v>0.00934249955931606</x:v>
      </x:c>
      <x:c r="G16" s="29" t="n">
        <x:v>4.0178189593727724</x:v>
      </x:c>
      <x:c r="H16" s="27" t="n">
        <x:v>-0.264974039330818</x:v>
      </x:c>
      <x:c r="I16" s="1"/>
      <x:c r="J16" s="1"/>
      <x:c r="K16" s="1"/>
      <x:c r="L16" s="1"/>
      <x:c r="M16" s="1"/>
      <x:c r="N16" s="1"/>
    </x:row>
    <x:row r="17" ht="21" customHeight="1">
      <x:c r="A17" s="17" t="str">
        <x:v>2018-01</x:v>
      </x:c>
      <x:c r="B17" s="23" t="n">
        <x:v>7269</x:v>
      </x:c>
      <x:c r="C17" s="23" t="n">
        <x:v>7069</x:v>
      </x:c>
      <x:c r="D17" s="25" t="n">
        <x:v>924645</x:v>
      </x:c>
      <x:c r="E17" s="25" t="n">
        <x:v>130.80280096194653</x:v>
      </x:c>
      <x:c r="F17" s="27" t="n">
        <x:v>0.011280781400467739</x:v>
      </x:c>
      <x:c r="G17" s="29" t="n">
        <x:v>4.041660880433273</x:v>
      </x:c>
      <x:c r="H17" s="27" t="n">
        <x:v>0.2735574802027989</x:v>
      </x:c>
      <x:c r="I17" s="1"/>
      <x:c r="J17" s="1"/>
      <x:c r="K17" s="1"/>
      <x:c r="L17" s="1"/>
      <x:c r="M17" s="1"/>
      <x:c r="N17" s="1"/>
    </x:row>
    <x:row r="18" ht="21" customHeight="1">
      <x:c r="A18" s="17" t="str">
        <x:v>2018-02</x:v>
      </x:c>
      <x:c r="B18" s="23" t="n">
        <x:v>6728</x:v>
      </x:c>
      <x:c r="C18" s="23" t="n">
        <x:v>6555</x:v>
      </x:c>
      <x:c r="D18" s="25" t="n">
        <x:v>826437.13</x:v>
      </x:c>
      <x:c r="E18" s="25" t="n">
        <x:v>126.0773653699466</x:v>
      </x:c>
      <x:c r="F18" s="27" t="n">
        <x:v>0.015309155766944114</x:v>
      </x:c>
      <x:c r="G18" s="29" t="n">
        <x:v>3.8259892086330933</x:v>
      </x:c>
      <x:c r="H18" s="27" t="n">
        <x:v>-0.10621143249571452</x:v>
      </x:c>
      <x:c r="I18" s="1"/>
      <x:c r="J18" s="1"/>
      <x:c r="K18" s="1"/>
      <x:c r="L18" s="1"/>
      <x:c r="M18" s="1"/>
      <x:c r="N18" s="1"/>
    </x:row>
    <x:row r="19" ht="21" customHeight="1">
      <x:c r="A19" s="17" t="str">
        <x:v>2018-03</x:v>
      </x:c>
      <x:c r="B19" s="23" t="n">
        <x:v>7211</x:v>
      </x:c>
      <x:c r="C19" s="23" t="n">
        <x:v>7003</x:v>
      </x:c>
      <x:c r="D19" s="25" t="n">
        <x:v>953356.25</x:v>
      </x:c>
      <x:c r="E19" s="25" t="n">
        <x:v>136.13540625446237</x:v>
      </x:c>
      <x:c r="F19" s="27" t="n">
        <x:v>0.005963111912356122</x:v>
      </x:c>
      <x:c r="G19" s="29" t="n">
        <x:v>3.7529378847229995</x:v>
      </x:c>
      <x:c r="H19" s="27" t="n">
        <x:v>0.15357383567701022</x:v>
      </x:c>
      <x:c r="I19" s="1"/>
      <x:c r="J19" s="1"/>
      <x:c r="K19" s="1"/>
      <x:c r="L19" s="1"/>
      <x:c r="M19" s="1"/>
      <x:c r="N19" s="1"/>
    </x:row>
    <x:row r="20" ht="21" customHeight="1">
      <x:c r="A20" s="17" t="str">
        <x:v>2018-04</x:v>
      </x:c>
      <x:c r="B20" s="23" t="n">
        <x:v>6939</x:v>
      </x:c>
      <x:c r="C20" s="23" t="n">
        <x:v>6798</x:v>
      </x:c>
      <x:c r="D20" s="25" t="n">
        <x:v>973534.09</x:v>
      </x:c>
      <x:c r="E20" s="25" t="n">
        <x:v>143.2088982053545</x:v>
      </x:c>
      <x:c r="F20" s="27" t="n">
        <x:v>0.002882259691598213</x:v>
      </x:c>
      <x:c r="G20" s="29" t="n">
        <x:v>4.162138602353625</x:v>
      </x:c>
      <x:c r="H20" s="27" t="n">
        <x:v>0.021165057658141917</x:v>
      </x:c>
      <x:c r="I20" s="1"/>
      <x:c r="J20" s="1"/>
      <x:c r="K20" s="1"/>
      <x:c r="L20" s="1"/>
      <x:c r="M20" s="1"/>
      <x:c r="N20" s="1"/>
    </x:row>
    <x:row r="21" ht="21" customHeight="1">
      <x:c r="A21" s="17" t="str">
        <x:v>2018-05</x:v>
      </x:c>
      <x:c r="B21" s="23" t="n">
        <x:v>6873</x:v>
      </x:c>
      <x:c r="C21" s="23" t="n">
        <x:v>6749</x:v>
      </x:c>
      <x:c r="D21" s="25" t="n">
        <x:v>977544.6900000001</x:v>
      </x:c>
      <x:c r="E21" s="25" t="n">
        <x:v>144.84289376203884</x:v>
      </x:c>
      <x:c r="F21" s="27" t="n">
        <x:v>0.005819874872690237</x:v>
      </x:c>
      <x:c r="G21" s="29" t="n">
        <x:v>4.1943266559438515</x:v>
      </x:c>
      <x:c r="H21" s="27" t="n">
        <x:v>0.004119629750202192</x:v>
      </x:c>
      <x:c r="I21" s="1"/>
      <x:c r="J21" s="1"/>
      <x:c r="K21" s="1"/>
      <x:c r="L21" s="1"/>
      <x:c r="M21" s="1"/>
      <x:c r="N21" s="1"/>
    </x:row>
    <x:row r="22" ht="21" customHeight="1">
      <x:c r="A22" s="17" t="str">
        <x:v>2018-06</x:v>
      </x:c>
      <x:c r="B22" s="23" t="n">
        <x:v>6167</x:v>
      </x:c>
      <x:c r="C22" s="23" t="n">
        <x:v>6099</x:v>
      </x:c>
      <x:c r="D22" s="25" t="n">
        <x:v>856077.86</x:v>
      </x:c>
      <x:c r="E22" s="25" t="n">
        <x:v>140.36364322020003</x:v>
      </x:c>
      <x:c r="F22" s="27" t="n">
        <x:v>0.0035673747365007297</x:v>
      </x:c>
      <x:c r="G22" s="29" t="n">
        <x:v>4.2774792379091355</x:v>
      </x:c>
      <x:c r="H22" s="27" t="n">
        <x:v>-0.12425706082041121</x:v>
      </x:c>
      <x:c r="I22" s="1"/>
      <x:c r="J22" s="1"/>
      <x:c r="K22" s="1"/>
      <x:c r="L22" s="1"/>
      <x:c r="M22" s="1"/>
      <x:c r="N22" s="1"/>
    </x:row>
    <x:row r="23" ht="21" customHeight="1">
      <x:c r="A23" s="17" t="str">
        <x:v>2018-07</x:v>
      </x:c>
      <x:c r="B23" s="23" t="n">
        <x:v>6292</x:v>
      </x:c>
      <x:c r="C23" s="23" t="n">
        <x:v>6159</x:v>
      </x:c>
      <x:c r="D23" s="25" t="n">
        <x:v>867953.46</x:v>
      </x:c>
      <x:c r="E23" s="25" t="n">
        <x:v>140.9244130540672</x:v>
      </x:c>
      <x:c r="F23" s="27" t="n">
        <x:v>0.009376986649713922</x:v>
      </x:c>
      <x:c r="G23" s="29" t="n">
        <x:v>4.263326396670402</x:v>
      </x:c>
      <x:c r="H23" s="27" t="n">
        <x:v>0.013872102708041067</x:v>
      </x:c>
      <x:c r="I23" s="1"/>
      <x:c r="J23" s="1"/>
      <x:c r="K23" s="1"/>
      <x:c r="L23" s="1"/>
      <x:c r="M23" s="1"/>
      <x:c r="N23" s="1"/>
    </x:row>
    <x:row r="24" ht="21" customHeight="1">
      <x:c r="A24" s="17" t="str">
        <x:v>2018-08</x:v>
      </x:c>
      <x:c r="B24" s="23" t="n">
        <x:v>6512</x:v>
      </x:c>
      <x:c r="C24" s="23" t="n">
        <x:v>6351</x:v>
      </x:c>
      <x:c r="D24" s="25" t="n">
        <x:v>838576.64</x:v>
      </x:c>
      <x:c r="E24" s="25" t="n">
        <x:v>132.03851991812314</x:v>
      </x:c>
      <x:c r="F24" s="27" t="n">
        <x:v>0.013974201474201474</x:v>
      </x:c>
      <x:c r="G24" s="29" t="n">
        <x:v>4.256283731688512</x:v>
      </x:c>
      <x:c r="H24" s="27" t="n">
        <x:v>-0.03384607741525669</x:v>
      </x:c>
      <x:c r="I24" s="1"/>
      <x:c r="J24" s="1"/>
      <x:c r="K24" s="1"/>
      <x:c r="L24" s="1"/>
      <x:c r="M24" s="1"/>
      <x:c r="N24" s="1"/>
    </x:row>
    <x:row r="25" ht="21" customHeight="1">
      <x:c r="A25" s="17" t="str">
        <x:v>2018-09</x:v>
      </x:c>
      <x:c r="B25" s="23" t="n">
        <x:v>16</x:v>
      </x:c>
      <x:c r="C25" s="23" t="n">
        <x:v>0</x:v>
      </x:c>
      <x:c r="D25" s="25" t="n">
        <x:v>0</x:v>
      </x:c>
      <x:c r="E25" s="25" t="n">
        <x:v>0</x:v>
      </x:c>
      <x:c r="F25" s="27" t="n">
        <x:v>0.9375</x:v>
      </x:c>
      <x:c r="G25" s="29" t="n">
        <x:v>1.8</x:v>
      </x:c>
      <x:c r="H25" s="27" t="n">
        <x:v>-1</x:v>
      </x:c>
      <x:c r="I25" s="1"/>
      <x:c r="J25" s="1"/>
      <x:c r="K25" s="1"/>
      <x:c r="L25" s="1"/>
      <x:c r="M25" s="1"/>
      <x:c r="N25" s="1"/>
    </x:row>
    <x:row r="26" ht="21" customHeight="1">
      <x:c r="A26" s="18" t="str">
        <x:v>2018-10</x:v>
      </x:c>
      <x:c r="B26" s="24" t="n">
        <x:v>4</x:v>
      </x:c>
      <x:c r="C26" s="24" t="n">
        <x:v>0</x:v>
      </x:c>
      <x:c r="D26" s="26" t="n">
        <x:v>0</x:v>
      </x:c>
      <x:c r="E26" s="26" t="n">
        <x:v>0</x:v>
      </x:c>
      <x:c r="F26" s="28" t="n">
        <x:v>1</x:v>
      </x:c>
      <x:c r="G26" s="30" t="n">
        <x:v>2.25</x:v>
      </x:c>
      <x:c r="H26" s="28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0" hidden="0" customWidth="1"/>
    <x:col min="3" max="3" width="58" hidden="0" customWidth="1"/>
    <x:col min="5" max="5" width="62" hidden="0" customWidth="1"/>
  </x:cols>
  <x:sheetData>
    <x:row r="1" ht="28" customHeight="1">
      <x:c r="A1" s="13" t="str">
        <x:v>Metric</x:v>
      </x:c>
      <x:c r="B1" s="14" t="str">
        <x:v>Value</x:v>
      </x:c>
      <x:c r="C1" s="15" t="str">
        <x:v>Definition</x:v>
      </x:c>
      <x:c r="D1" s="1"/>
      <x:c r="E1" s="1" t="str">
        <x:v>Source</x:v>
      </x:c>
      <x:c r="F1" s="1"/>
      <x:c r="G1" s="1"/>
      <x:c r="H1" s="1"/>
      <x:c r="I1" s="1"/>
      <x:c r="J1" s="1"/>
      <x:c r="K1" s="1"/>
      <x:c r="L1" s="1"/>
      <x:c r="M1" s="1"/>
      <x:c r="N1" s="1"/>
    </x:row>
    <x:row r="2" ht="21" customHeight="1">
      <x:c r="A2" s="17" t="str">
        <x:v>Total orders</x:v>
      </x:c>
      <x:c r="B2" s="19" t="n">
        <x:v>99441</x:v>
      </x:c>
      <x:c r="C2" s="21" t="str">
        <x:v>Distinct orders in the source dataset</x:v>
      </x:c>
      <x:c r="D2" s="1"/>
      <x:c r="E2" s="1" t="str">
        <x:v>Brazilian E-Commerce Public Dataset by Olist</x:v>
      </x:c>
      <x:c r="F2" s="1"/>
      <x:c r="G2" s="1"/>
      <x:c r="H2" s="1"/>
      <x:c r="I2" s="1"/>
      <x:c r="J2" s="1"/>
      <x:c r="K2" s="1"/>
      <x:c r="L2" s="1"/>
      <x:c r="M2" s="1"/>
      <x:c r="N2" s="1"/>
    </x:row>
    <x:row r="3" ht="21" customHeight="1">
      <x:c r="A3" s="17" t="str">
        <x:v>Delivered orders</x:v>
      </x:c>
      <x:c r="B3" s="19" t="n">
        <x:v>96478</x:v>
      </x:c>
      <x:c r="C3" s="21" t="str">
        <x:v>Distinct orders with order_status = delivered</x:v>
      </x:c>
      <x:c r="D3" s="1"/>
      <x:c r="E3" s="1" t="str">
        <x:v>https://www.kaggle.com/datasets/olistbr/brazilian-ecommerce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1" customHeight="1">
      <x:c r="A4" s="17" t="str">
        <x:v>Realized GMV (BRL)</x:v>
      </x:c>
      <x:c r="B4" s="19" t="n">
        <x:v>13221498.11</x:v>
      </x:c>
      <x:c r="C4" s="21" t="str">
        <x:v>Sum of item price for delivered orders; not net platform revenue</x:v>
      </x:c>
      <x:c r="D4" s="1"/>
      <x:c r="E4" s="1" t="str">
        <x:v>Delivered item value is GMV, not net platform revenue or profit.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1" customHeight="1">
      <x:c r="A5" s="17" t="str">
        <x:v>Average order value (BRL)</x:v>
      </x:c>
      <x:c r="B5" s="19" t="n">
        <x:v>137.04</x:v>
      </x:c>
      <x:c r="C5" s="21" t="str">
        <x:v>Delivered realized GMV divided by delivered orders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1" customHeight="1">
      <x:c r="A6" s="17" t="str">
        <x:v>Unique customers</x:v>
      </x:c>
      <x:c r="B6" s="19" t="n">
        <x:v>93358</x:v>
      </x:c>
      <x:c r="C6" s="21" t="str">
        <x:v>Distinct persistent customer identities among delivered orders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1" customHeight="1">
      <x:c r="A7" s="17" t="str">
        <x:v>Repeat customer rate</x:v>
      </x:c>
      <x:c r="B7" s="19" t="n">
        <x:v>0.03000278497825575</x:v>
      </x:c>
      <x:c r="C7" s="21" t="str">
        <x:v>Share of delivered customers with at least two delivered orders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1" customHeight="1">
      <x:c r="A8" s="17" t="str">
        <x:v>On-time delivery rate</x:v>
      </x:c>
      <x:c r="B8" s="19" t="n">
        <x:v>0.9188710145528421</x:v>
      </x:c>
      <x:c r="C8" s="21" t="str">
        <x:v>Delivered on or before the estimated delivery date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1" customHeight="1">
      <x:c r="A9" s="17" t="str">
        <x:v>Cancellation / unavailable rate</x:v>
      </x:c>
      <x:c r="B9" s="19" t="n">
        <x:v>0.012409368369183738</x:v>
      </x:c>
      <x:c r="C9" s="21" t="str">
        <x:v>Orders marked canceled or unavailable divided by total orders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1" customHeight="1">
      <x:c r="A10" s="18" t="str">
        <x:v>Average review score</x:v>
      </x:c>
      <x:c r="B10" s="20" t="n">
        <x:v>4.09</x:v>
      </x:c>
      <x:c r="C10" s="22" t="str">
        <x:v>Mean latest review score by order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F7890"/>
  </x:sheetPr>
  <x:sheetViews>
    <x:sheetView showGridLines="0" workbookViewId="0"/>
  </x:sheetViews>
  <x:sheetFormatPr defaultRowHeight="15"/>
  <x:cols>
    <x:col min="1" max="1" width="24" hidden="0" customWidth="1"/>
    <x:col min="2" max="2" width="56" hidden="0" customWidth="1"/>
    <x:col min="3" max="3" width="5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8" customHeight="1">
      <x:c r="A2" s="31" t="str">
        <x:v>Metric Definitions &amp; Interpretation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32" t="str">
        <x:v>Use these definitions when presenting the analysis or rebuilding it in another BI tool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3" t="str">
        <x:v>Metric</x:v>
      </x:c>
      <x:c r="B6" s="14" t="str">
        <x:v>Definition</x:v>
      </x:c>
      <x:c r="C6" s="15" t="str">
        <x:v>Interpretation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42" customHeight="1">
      <x:c r="A7" s="21" t="str">
        <x:v>Realized GMV</x:v>
      </x:c>
      <x:c r="B7" s="21" t="str">
        <x:v>Sum of item price for delivered orders; freight excluded.</x:v>
      </x:c>
      <x:c r="C7" s="21" t="str">
        <x:v>A merchandise-value proxy, not audited platform revenue or profit.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42" customHeight="1">
      <x:c r="A8" s="21" t="str">
        <x:v>Average Order Value</x:v>
      </x:c>
      <x:c r="B8" s="21" t="str">
        <x:v>Realized GMV divided by delivered orders.</x:v>
      </x:c>
      <x:c r="C8" s="21" t="str">
        <x:v>Commercial basket value after restricting to completed deliveries.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42" customHeight="1">
      <x:c r="A9" s="21" t="str">
        <x:v>Repeat Customer Rate</x:v>
      </x:c>
      <x:c r="B9" s="21" t="str">
        <x:v>Share of delivered customers with at least two delivered orders.</x:v>
      </x:c>
      <x:c r="C9" s="21" t="str">
        <x:v>Uses customer_unique_id because customer_id can change across orders.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42" customHeight="1">
      <x:c r="A10" s="21" t="str">
        <x:v>On-Time Delivery Rate</x:v>
      </x:c>
      <x:c r="B10" s="21" t="str">
        <x:v>Actual delivery date on or before the estimated date.</x:v>
      </x:c>
      <x:c r="C10" s="21" t="str">
        <x:v>Undelivered orders and missing delivery dates are excluded.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42" customHeight="1">
      <x:c r="A11" s="21" t="str">
        <x:v>Delivery Variance</x:v>
      </x:c>
      <x:c r="B11" s="21" t="str">
        <x:v>Actual delivery date minus estimated delivery date.</x:v>
      </x:c>
      <x:c r="C11" s="21" t="str">
        <x:v>Positive values are late; negative values are early.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42" customHeight="1">
      <x:c r="A12" s="21" t="str">
        <x:v>RFM Segment</x:v>
      </x:c>
      <x:c r="B12" s="21" t="str">
        <x:v>Quantile-based recency, frequency, and monetary grouping.</x:v>
      </x:c>
      <x:c r="C12" s="21" t="str">
        <x:v>Action-oriented segmentation for retention and customer treatment.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42" customHeight="1">
      <x:c r="A13" s="22" t="str">
        <x:v>Cohort Retention</x:v>
      </x:c>
      <x:c r="B13" s="22" t="str">
        <x:v>Share of an acquisition cohort active in later months.</x:v>
      </x:c>
      <x:c r="C13" s="22" t="str">
        <x:v>M0 is the acquisition month; M1 is the following month.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3" t="str">
        <x:v>Source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265" t="str">
        <x:v>Brazilian E-Commerce Public Dataset by Olist · https://www.kaggle.com/datasets/olistbr/brazilian-ecommerce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</x:sheetData>
  <x:mergeCells>
    <x:mergeCell ref="A2:N2"/>
    <x:mergeCell ref="A3:N3"/>
    <x:mergeCell ref="A17:C17"/>
    <x:mergeCell ref="A18:C18"/>
  </x:mergeCells>
  <x:pageMargins left="0.7" right="0.7" top="0.75" bottom="0.75" header="0.3" footer="0.3"/>
</x:worksheet>
</file>